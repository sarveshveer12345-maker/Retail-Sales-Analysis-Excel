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80bb4a066df34594/Desktop/Excel Practice/Belgaum Data/"/>
    </mc:Choice>
  </mc:AlternateContent>
  <xr:revisionPtr revIDLastSave="427" documentId="13_ncr:1_{EDAEE58E-9ECF-445A-BAB6-7E18A6FC066D}" xr6:coauthVersionLast="47" xr6:coauthVersionMax="47" xr10:uidLastSave="{3A59DDC0-5FE0-4892-979E-40684D0C59B2}"/>
  <bookViews>
    <workbookView xWindow="-108" yWindow="-108" windowWidth="23256" windowHeight="12456" activeTab="4" xr2:uid="{4E4512FE-386B-4E72-833D-1DD50757BBBB}"/>
  </bookViews>
  <sheets>
    <sheet name="Raw_Data" sheetId="1" r:id="rId1"/>
    <sheet name="Business_Problem" sheetId="6" r:id="rId2"/>
    <sheet name="Pivot_Analysis" sheetId="7" r:id="rId3"/>
    <sheet name="Pivot_Charts" sheetId="2" r:id="rId4"/>
    <sheet name="Dashboard" sheetId="4" r:id="rId5"/>
  </sheets>
  <definedNames>
    <definedName name="Slicer_Customer_Segment">#N/A</definedName>
    <definedName name="Slicer_Payment_Mode">#N/A</definedName>
    <definedName name="Slicer_Sales_Channel">#N/A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<sst xmlns="http://schemas.openxmlformats.org/spreadsheetml/2006/main" count="3710" uniqueCount="605">
  <si>
    <t>BLG-0001</t>
  </si>
  <si>
    <t>Hindwadi</t>
  </si>
  <si>
    <t>Retail</t>
  </si>
  <si>
    <t>Pharmacy</t>
  </si>
  <si>
    <t>Delivered</t>
  </si>
  <si>
    <t>Online</t>
  </si>
  <si>
    <t>Cash</t>
  </si>
  <si>
    <t>BLG-0002</t>
  </si>
  <si>
    <t>Shahapur</t>
  </si>
  <si>
    <t>Grocery</t>
  </si>
  <si>
    <t>In-Store</t>
  </si>
  <si>
    <t>UPI</t>
  </si>
  <si>
    <t>BLG-0003</t>
  </si>
  <si>
    <t>Hanuman Nagar</t>
  </si>
  <si>
    <t>Wholesale</t>
  </si>
  <si>
    <t>Pending</t>
  </si>
  <si>
    <t>BLG-0004</t>
  </si>
  <si>
    <t>Cancelled</t>
  </si>
  <si>
    <t>Card</t>
  </si>
  <si>
    <t>BLG-0005</t>
  </si>
  <si>
    <t>Vadgaon</t>
  </si>
  <si>
    <t>Dairy</t>
  </si>
  <si>
    <t>BLG-0006</t>
  </si>
  <si>
    <t>Nehru Nagar</t>
  </si>
  <si>
    <t>Corporate</t>
  </si>
  <si>
    <t>BLG-0007</t>
  </si>
  <si>
    <t>Hardware</t>
  </si>
  <si>
    <t>BLG-0008</t>
  </si>
  <si>
    <t>BLG-0009</t>
  </si>
  <si>
    <t>Gandhi Nagar</t>
  </si>
  <si>
    <t>Returned</t>
  </si>
  <si>
    <t>BLG-0010</t>
  </si>
  <si>
    <t>Malmaruti</t>
  </si>
  <si>
    <t>BLG-0011</t>
  </si>
  <si>
    <t>Fort Road</t>
  </si>
  <si>
    <t>Home Appliances</t>
  </si>
  <si>
    <t>BLG-0012</t>
  </si>
  <si>
    <t>Restaurant</t>
  </si>
  <si>
    <t>BLG-0013</t>
  </si>
  <si>
    <t>Ashok Nagar</t>
  </si>
  <si>
    <t>Stationery</t>
  </si>
  <si>
    <t>BLG-0014</t>
  </si>
  <si>
    <t>Bogarves</t>
  </si>
  <si>
    <t>BLG-0015</t>
  </si>
  <si>
    <t>BLG-0016</t>
  </si>
  <si>
    <t>BLG-0017</t>
  </si>
  <si>
    <t>NetBanking</t>
  </si>
  <si>
    <t>BLG-0018</t>
  </si>
  <si>
    <t>Udyambag</t>
  </si>
  <si>
    <t>BLG-0019</t>
  </si>
  <si>
    <t>Khasbag</t>
  </si>
  <si>
    <t>Electronics</t>
  </si>
  <si>
    <t>BLG-0020</t>
  </si>
  <si>
    <t>Raviwar Peth</t>
  </si>
  <si>
    <t>BLG-0021</t>
  </si>
  <si>
    <t>Nanawadi</t>
  </si>
  <si>
    <t>BLG-0022</t>
  </si>
  <si>
    <t>BLG-0023</t>
  </si>
  <si>
    <t>Camp</t>
  </si>
  <si>
    <t>BLG-0024</t>
  </si>
  <si>
    <t>BLG-0025</t>
  </si>
  <si>
    <t>BLG-0026</t>
  </si>
  <si>
    <t>BLG-0027</t>
  </si>
  <si>
    <t>Phone</t>
  </si>
  <si>
    <t>BLG-0028</t>
  </si>
  <si>
    <t>BLG-0029</t>
  </si>
  <si>
    <t>BLG-0030</t>
  </si>
  <si>
    <t>Tilakwadi</t>
  </si>
  <si>
    <t>BLG-0031</t>
  </si>
  <si>
    <t>BLG-0032</t>
  </si>
  <si>
    <t>BLG-0033</t>
  </si>
  <si>
    <t>BLG-0034</t>
  </si>
  <si>
    <t>BLG-0035</t>
  </si>
  <si>
    <t>Mobile Accessories</t>
  </si>
  <si>
    <t>BLG-0036</t>
  </si>
  <si>
    <t>Angol</t>
  </si>
  <si>
    <t>BLG-0037</t>
  </si>
  <si>
    <t>Apparel</t>
  </si>
  <si>
    <t>BLG-0038</t>
  </si>
  <si>
    <t>Shivabasava Nagar</t>
  </si>
  <si>
    <t>BLG-0039</t>
  </si>
  <si>
    <t>BLG-0040</t>
  </si>
  <si>
    <t>Wallet</t>
  </si>
  <si>
    <t>BLG-0041</t>
  </si>
  <si>
    <t>BLG-0042</t>
  </si>
  <si>
    <t>BLG-0043</t>
  </si>
  <si>
    <t>BLG-0044</t>
  </si>
  <si>
    <t>BLG-0045</t>
  </si>
  <si>
    <t>BLG-0046</t>
  </si>
  <si>
    <t>BLG-0047</t>
  </si>
  <si>
    <t>BLG-0048</t>
  </si>
  <si>
    <t>BLG-0049</t>
  </si>
  <si>
    <t>BLG-0050</t>
  </si>
  <si>
    <t>BLG-0051</t>
  </si>
  <si>
    <t>BLG-0052</t>
  </si>
  <si>
    <t>BLG-0053</t>
  </si>
  <si>
    <t>BLG-0054</t>
  </si>
  <si>
    <t>BLG-0055</t>
  </si>
  <si>
    <t>BLG-0056</t>
  </si>
  <si>
    <t>BLG-0057</t>
  </si>
  <si>
    <t>BLG-0058</t>
  </si>
  <si>
    <t>BLG-0059</t>
  </si>
  <si>
    <t>BLG-0060</t>
  </si>
  <si>
    <t>BLG-0061</t>
  </si>
  <si>
    <t>BLG-0062</t>
  </si>
  <si>
    <t>BLG-0063</t>
  </si>
  <si>
    <t>BLG-0064</t>
  </si>
  <si>
    <t>BLG-0065</t>
  </si>
  <si>
    <t>BLG-0066</t>
  </si>
  <si>
    <t>BLG-0067</t>
  </si>
  <si>
    <t>BLG-0068</t>
  </si>
  <si>
    <t>BLG-0069</t>
  </si>
  <si>
    <t>BLG-0070</t>
  </si>
  <si>
    <t>BLG-0071</t>
  </si>
  <si>
    <t>BLG-0072</t>
  </si>
  <si>
    <t>BLG-0073</t>
  </si>
  <si>
    <t>BLG-0074</t>
  </si>
  <si>
    <t>BLG-0075</t>
  </si>
  <si>
    <t>BLG-0076</t>
  </si>
  <si>
    <t>BLG-0077</t>
  </si>
  <si>
    <t>BLG-0078</t>
  </si>
  <si>
    <t>BLG-0079</t>
  </si>
  <si>
    <t>BLG-0080</t>
  </si>
  <si>
    <t>BLG-0081</t>
  </si>
  <si>
    <t>BLG-0082</t>
  </si>
  <si>
    <t>BLG-0083</t>
  </si>
  <si>
    <t>BLG-0084</t>
  </si>
  <si>
    <t>BLG-0085</t>
  </si>
  <si>
    <t>BLG-0086</t>
  </si>
  <si>
    <t>BLG-0087</t>
  </si>
  <si>
    <t>BLG-0088</t>
  </si>
  <si>
    <t>BLG-0089</t>
  </si>
  <si>
    <t>BLG-0090</t>
  </si>
  <si>
    <t>BLG-0091</t>
  </si>
  <si>
    <t>BLG-0092</t>
  </si>
  <si>
    <t>BLG-0093</t>
  </si>
  <si>
    <t>BLG-0094</t>
  </si>
  <si>
    <t>BLG-0095</t>
  </si>
  <si>
    <t>BLG-0096</t>
  </si>
  <si>
    <t>BLG-0097</t>
  </si>
  <si>
    <t>BLG-0098</t>
  </si>
  <si>
    <t>BLG-0099</t>
  </si>
  <si>
    <t>BLG-0100</t>
  </si>
  <si>
    <t>BLG-0101</t>
  </si>
  <si>
    <t>BLG-0102</t>
  </si>
  <si>
    <t>BLG-0103</t>
  </si>
  <si>
    <t>BLG-0104</t>
  </si>
  <si>
    <t>BLG-0105</t>
  </si>
  <si>
    <t>BLG-0106</t>
  </si>
  <si>
    <t>BLG-0107</t>
  </si>
  <si>
    <t>BLG-0108</t>
  </si>
  <si>
    <t>BLG-0109</t>
  </si>
  <si>
    <t>BLG-0110</t>
  </si>
  <si>
    <t>BLG-0111</t>
  </si>
  <si>
    <t>BLG-0112</t>
  </si>
  <si>
    <t>BLG-0113</t>
  </si>
  <si>
    <t>BLG-0114</t>
  </si>
  <si>
    <t>BLG-0115</t>
  </si>
  <si>
    <t>BLG-0116</t>
  </si>
  <si>
    <t>BLG-0117</t>
  </si>
  <si>
    <t>BLG-0118</t>
  </si>
  <si>
    <t>BLG-0119</t>
  </si>
  <si>
    <t>BLG-0120</t>
  </si>
  <si>
    <t>BLG-0121</t>
  </si>
  <si>
    <t>BLG-0122</t>
  </si>
  <si>
    <t>BLG-0123</t>
  </si>
  <si>
    <t>BLG-0124</t>
  </si>
  <si>
    <t>BLG-0125</t>
  </si>
  <si>
    <t>BLG-0126</t>
  </si>
  <si>
    <t>BLG-0127</t>
  </si>
  <si>
    <t>BLG-0128</t>
  </si>
  <si>
    <t>BLG-0129</t>
  </si>
  <si>
    <t>BLG-0130</t>
  </si>
  <si>
    <t>BLG-0131</t>
  </si>
  <si>
    <t>BLG-0132</t>
  </si>
  <si>
    <t>BLG-0133</t>
  </si>
  <si>
    <t>BLG-0134</t>
  </si>
  <si>
    <t>BLG-0135</t>
  </si>
  <si>
    <t>BLG-0136</t>
  </si>
  <si>
    <t>BLG-0137</t>
  </si>
  <si>
    <t>BLG-0138</t>
  </si>
  <si>
    <t>BLG-0139</t>
  </si>
  <si>
    <t>BLG-0140</t>
  </si>
  <si>
    <t>BLG-0141</t>
  </si>
  <si>
    <t>BLG-0142</t>
  </si>
  <si>
    <t>BLG-0143</t>
  </si>
  <si>
    <t>BLG-0144</t>
  </si>
  <si>
    <t>BLG-0145</t>
  </si>
  <si>
    <t>BLG-0146</t>
  </si>
  <si>
    <t>BLG-0147</t>
  </si>
  <si>
    <t>BLG-0148</t>
  </si>
  <si>
    <t>BLG-0149</t>
  </si>
  <si>
    <t>BLG-0150</t>
  </si>
  <si>
    <t>BLG-0151</t>
  </si>
  <si>
    <t>BLG-0152</t>
  </si>
  <si>
    <t>BLG-0153</t>
  </si>
  <si>
    <t>BLG-0154</t>
  </si>
  <si>
    <t>BLG-0155</t>
  </si>
  <si>
    <t>BLG-0156</t>
  </si>
  <si>
    <t>BLG-0157</t>
  </si>
  <si>
    <t>BLG-0158</t>
  </si>
  <si>
    <t>BLG-0159</t>
  </si>
  <si>
    <t>BLG-0160</t>
  </si>
  <si>
    <t>BLG-0161</t>
  </si>
  <si>
    <t>BLG-0162</t>
  </si>
  <si>
    <t>BLG-0163</t>
  </si>
  <si>
    <t>BLG-0164</t>
  </si>
  <si>
    <t>BLG-0165</t>
  </si>
  <si>
    <t>BLG-0166</t>
  </si>
  <si>
    <t>BLG-0167</t>
  </si>
  <si>
    <t>BLG-0168</t>
  </si>
  <si>
    <t>BLG-0169</t>
  </si>
  <si>
    <t>BLG-0170</t>
  </si>
  <si>
    <t>BLG-0171</t>
  </si>
  <si>
    <t>BLG-0172</t>
  </si>
  <si>
    <t>BLG-0173</t>
  </si>
  <si>
    <t>BLG-0174</t>
  </si>
  <si>
    <t>BLG-0175</t>
  </si>
  <si>
    <t>BLG-0176</t>
  </si>
  <si>
    <t>BLG-0177</t>
  </si>
  <si>
    <t>BLG-0178</t>
  </si>
  <si>
    <t>BLG-0179</t>
  </si>
  <si>
    <t>BLG-0180</t>
  </si>
  <si>
    <t>BLG-0181</t>
  </si>
  <si>
    <t>BLG-0182</t>
  </si>
  <si>
    <t>BLG-0183</t>
  </si>
  <si>
    <t>BLG-0184</t>
  </si>
  <si>
    <t>BLG-0185</t>
  </si>
  <si>
    <t>BLG-0186</t>
  </si>
  <si>
    <t>BLG-0187</t>
  </si>
  <si>
    <t>BLG-0188</t>
  </si>
  <si>
    <t>BLG-0189</t>
  </si>
  <si>
    <t>BLG-0190</t>
  </si>
  <si>
    <t>BLG-0191</t>
  </si>
  <si>
    <t>BLG-0192</t>
  </si>
  <si>
    <t>BLG-0193</t>
  </si>
  <si>
    <t>BLG-0194</t>
  </si>
  <si>
    <t>BLG-0195</t>
  </si>
  <si>
    <t>BLG-0196</t>
  </si>
  <si>
    <t>BLG-0197</t>
  </si>
  <si>
    <t>BLG-0198</t>
  </si>
  <si>
    <t>BLG-0199</t>
  </si>
  <si>
    <t>BLG-0200</t>
  </si>
  <si>
    <t>BLG-0201</t>
  </si>
  <si>
    <t>BLG-0202</t>
  </si>
  <si>
    <t>BLG-0203</t>
  </si>
  <si>
    <t>BLG-0204</t>
  </si>
  <si>
    <t>BLG-0205</t>
  </si>
  <si>
    <t>BLG-0206</t>
  </si>
  <si>
    <t>BLG-0207</t>
  </si>
  <si>
    <t>BLG-0208</t>
  </si>
  <si>
    <t>BLG-0209</t>
  </si>
  <si>
    <t>BLG-0210</t>
  </si>
  <si>
    <t>BLG-0211</t>
  </si>
  <si>
    <t>BLG-0212</t>
  </si>
  <si>
    <t>BLG-0213</t>
  </si>
  <si>
    <t>BLG-0214</t>
  </si>
  <si>
    <t>BLG-0215</t>
  </si>
  <si>
    <t>BLG-0216</t>
  </si>
  <si>
    <t>BLG-0217</t>
  </si>
  <si>
    <t>BLG-0218</t>
  </si>
  <si>
    <t>BLG-0219</t>
  </si>
  <si>
    <t>BLG-0220</t>
  </si>
  <si>
    <t>BLG-0221</t>
  </si>
  <si>
    <t>BLG-0222</t>
  </si>
  <si>
    <t>BLG-0223</t>
  </si>
  <si>
    <t>BLG-0224</t>
  </si>
  <si>
    <t>BLG-0225</t>
  </si>
  <si>
    <t>BLG-0226</t>
  </si>
  <si>
    <t>BLG-0227</t>
  </si>
  <si>
    <t>BLG-0228</t>
  </si>
  <si>
    <t>BLG-0229</t>
  </si>
  <si>
    <t>BLG-0230</t>
  </si>
  <si>
    <t>BLG-0231</t>
  </si>
  <si>
    <t>BLG-0232</t>
  </si>
  <si>
    <t>BLG-0233</t>
  </si>
  <si>
    <t>BLG-0234</t>
  </si>
  <si>
    <t>BLG-0235</t>
  </si>
  <si>
    <t>BLG-0236</t>
  </si>
  <si>
    <t>BLG-0237</t>
  </si>
  <si>
    <t>BLG-0238</t>
  </si>
  <si>
    <t>BLG-0239</t>
  </si>
  <si>
    <t>BLG-0240</t>
  </si>
  <si>
    <t>BLG-0241</t>
  </si>
  <si>
    <t>BLG-0242</t>
  </si>
  <si>
    <t>BLG-0243</t>
  </si>
  <si>
    <t>BLG-0244</t>
  </si>
  <si>
    <t>BLG-0245</t>
  </si>
  <si>
    <t>BLG-0246</t>
  </si>
  <si>
    <t>BLG-0247</t>
  </si>
  <si>
    <t>BLG-0248</t>
  </si>
  <si>
    <t>BLG-0249</t>
  </si>
  <si>
    <t>BLG-0250</t>
  </si>
  <si>
    <t>BLG-0251</t>
  </si>
  <si>
    <t>BLG-0252</t>
  </si>
  <si>
    <t>BLG-0253</t>
  </si>
  <si>
    <t>BLG-0254</t>
  </si>
  <si>
    <t>BLG-0255</t>
  </si>
  <si>
    <t>BLG-0256</t>
  </si>
  <si>
    <t>BLG-0257</t>
  </si>
  <si>
    <t>BLG-0258</t>
  </si>
  <si>
    <t>BLG-0259</t>
  </si>
  <si>
    <t>BLG-0260</t>
  </si>
  <si>
    <t>BLG-0261</t>
  </si>
  <si>
    <t>BLG-0262</t>
  </si>
  <si>
    <t>BLG-0263</t>
  </si>
  <si>
    <t>BLG-0264</t>
  </si>
  <si>
    <t>BLG-0265</t>
  </si>
  <si>
    <t>BLG-0266</t>
  </si>
  <si>
    <t>BLG-0267</t>
  </si>
  <si>
    <t>BLG-0268</t>
  </si>
  <si>
    <t>BLG-0269</t>
  </si>
  <si>
    <t>BLG-0270</t>
  </si>
  <si>
    <t>BLG-0271</t>
  </si>
  <si>
    <t>BLG-0272</t>
  </si>
  <si>
    <t>BLG-0273</t>
  </si>
  <si>
    <t>BLG-0274</t>
  </si>
  <si>
    <t>BLG-0275</t>
  </si>
  <si>
    <t>BLG-0276</t>
  </si>
  <si>
    <t>BLG-0277</t>
  </si>
  <si>
    <t>BLG-0278</t>
  </si>
  <si>
    <t>BLG-0279</t>
  </si>
  <si>
    <t>BLG-0280</t>
  </si>
  <si>
    <t>BLG-0281</t>
  </si>
  <si>
    <t>BLG-0282</t>
  </si>
  <si>
    <t>BLG-0283</t>
  </si>
  <si>
    <t>BLG-0284</t>
  </si>
  <si>
    <t>BLG-0285</t>
  </si>
  <si>
    <t>BLG-0286</t>
  </si>
  <si>
    <t>BLG-0287</t>
  </si>
  <si>
    <t>BLG-0288</t>
  </si>
  <si>
    <t>BLG-0289</t>
  </si>
  <si>
    <t>BLG-0290</t>
  </si>
  <si>
    <t>BLG-0291</t>
  </si>
  <si>
    <t>BLG-0292</t>
  </si>
  <si>
    <t>BLG-0293</t>
  </si>
  <si>
    <t>BLG-0294</t>
  </si>
  <si>
    <t>BLG-0295</t>
  </si>
  <si>
    <t>BLG-0296</t>
  </si>
  <si>
    <t>BLG-0297</t>
  </si>
  <si>
    <t>BLG-0298</t>
  </si>
  <si>
    <t>BLG-0299</t>
  </si>
  <si>
    <t>BLG-0300</t>
  </si>
  <si>
    <t>BLG-0301</t>
  </si>
  <si>
    <t>BLG-0302</t>
  </si>
  <si>
    <t>BLG-0303</t>
  </si>
  <si>
    <t>BLG-0304</t>
  </si>
  <si>
    <t>BLG-0305</t>
  </si>
  <si>
    <t>BLG-0306</t>
  </si>
  <si>
    <t>BLG-0307</t>
  </si>
  <si>
    <t>BLG-0308</t>
  </si>
  <si>
    <t>BLG-0309</t>
  </si>
  <si>
    <t>BLG-0310</t>
  </si>
  <si>
    <t>BLG-0311</t>
  </si>
  <si>
    <t>BLG-0312</t>
  </si>
  <si>
    <t>BLG-0313</t>
  </si>
  <si>
    <t>BLG-0314</t>
  </si>
  <si>
    <t>BLG-0315</t>
  </si>
  <si>
    <t>BLG-0316</t>
  </si>
  <si>
    <t>BLG-0317</t>
  </si>
  <si>
    <t>BLG-0318</t>
  </si>
  <si>
    <t>BLG-0319</t>
  </si>
  <si>
    <t>BLG-0320</t>
  </si>
  <si>
    <t>BLG-0321</t>
  </si>
  <si>
    <t>BLG-0322</t>
  </si>
  <si>
    <t>BLG-0323</t>
  </si>
  <si>
    <t>BLG-0324</t>
  </si>
  <si>
    <t>BLG-0325</t>
  </si>
  <si>
    <t>BLG-0326</t>
  </si>
  <si>
    <t>BLG-0327</t>
  </si>
  <si>
    <t>BLG-0328</t>
  </si>
  <si>
    <t>BLG-0329</t>
  </si>
  <si>
    <t>BLG-0330</t>
  </si>
  <si>
    <t>BLG-0331</t>
  </si>
  <si>
    <t>BLG-0332</t>
  </si>
  <si>
    <t>BLG-0333</t>
  </si>
  <si>
    <t>BLG-0334</t>
  </si>
  <si>
    <t>BLG-0335</t>
  </si>
  <si>
    <t>BLG-0336</t>
  </si>
  <si>
    <t>BLG-0337</t>
  </si>
  <si>
    <t>BLG-0338</t>
  </si>
  <si>
    <t>BLG-0339</t>
  </si>
  <si>
    <t>BLG-0340</t>
  </si>
  <si>
    <t>BLG-0341</t>
  </si>
  <si>
    <t>BLG-0342</t>
  </si>
  <si>
    <t>BLG-0343</t>
  </si>
  <si>
    <t>BLG-0344</t>
  </si>
  <si>
    <t>BLG-0345</t>
  </si>
  <si>
    <t>BLG-0346</t>
  </si>
  <si>
    <t>BLG-0347</t>
  </si>
  <si>
    <t>BLG-0348</t>
  </si>
  <si>
    <t>BLG-0349</t>
  </si>
  <si>
    <t>BLG-0350</t>
  </si>
  <si>
    <t>BLG-0351</t>
  </si>
  <si>
    <t>BLG-0352</t>
  </si>
  <si>
    <t>BLG-0353</t>
  </si>
  <si>
    <t>BLG-0354</t>
  </si>
  <si>
    <t>BLG-0355</t>
  </si>
  <si>
    <t>BLG-0356</t>
  </si>
  <si>
    <t>BLG-0357</t>
  </si>
  <si>
    <t>BLG-0358</t>
  </si>
  <si>
    <t>BLG-0359</t>
  </si>
  <si>
    <t>BLG-0360</t>
  </si>
  <si>
    <t>BLG-0361</t>
  </si>
  <si>
    <t>BLG-0362</t>
  </si>
  <si>
    <t>BLG-0363</t>
  </si>
  <si>
    <t>BLG-0364</t>
  </si>
  <si>
    <t>BLG-0365</t>
  </si>
  <si>
    <t>BLG-0366</t>
  </si>
  <si>
    <t>BLG-0367</t>
  </si>
  <si>
    <t>BLG-0368</t>
  </si>
  <si>
    <t>BLG-0369</t>
  </si>
  <si>
    <t>BLG-0370</t>
  </si>
  <si>
    <t>BLG-0371</t>
  </si>
  <si>
    <t>BLG-0372</t>
  </si>
  <si>
    <t>BLG-0373</t>
  </si>
  <si>
    <t>BLG-0374</t>
  </si>
  <si>
    <t>BLG-0375</t>
  </si>
  <si>
    <t>BLG-0376</t>
  </si>
  <si>
    <t>BLG-0377</t>
  </si>
  <si>
    <t>BLG-0378</t>
  </si>
  <si>
    <t>BLG-0379</t>
  </si>
  <si>
    <t>BLG-0380</t>
  </si>
  <si>
    <t>BLG-0381</t>
  </si>
  <si>
    <t>BLG-0382</t>
  </si>
  <si>
    <t>BLG-0383</t>
  </si>
  <si>
    <t>BLG-0384</t>
  </si>
  <si>
    <t>BLG-0385</t>
  </si>
  <si>
    <t>BLG-0386</t>
  </si>
  <si>
    <t>BLG-0387</t>
  </si>
  <si>
    <t>BLG-0388</t>
  </si>
  <si>
    <t>BLG-0389</t>
  </si>
  <si>
    <t>BLG-0390</t>
  </si>
  <si>
    <t>BLG-0391</t>
  </si>
  <si>
    <t>BLG-0392</t>
  </si>
  <si>
    <t>BLG-0393</t>
  </si>
  <si>
    <t>BLG-0394</t>
  </si>
  <si>
    <t>BLG-0395</t>
  </si>
  <si>
    <t>BLG-0396</t>
  </si>
  <si>
    <t>BLG-0397</t>
  </si>
  <si>
    <t>BLG-0398</t>
  </si>
  <si>
    <t>BLG-0399</t>
  </si>
  <si>
    <t>BLG-0400</t>
  </si>
  <si>
    <t>BLG-0401</t>
  </si>
  <si>
    <t>BLG-0402</t>
  </si>
  <si>
    <t>BLG-0403</t>
  </si>
  <si>
    <t>BLG-0404</t>
  </si>
  <si>
    <t>BLG-0405</t>
  </si>
  <si>
    <t>BLG-0406</t>
  </si>
  <si>
    <t>BLG-0407</t>
  </si>
  <si>
    <t>BLG-0408</t>
  </si>
  <si>
    <t>BLG-0409</t>
  </si>
  <si>
    <t>BLG-0410</t>
  </si>
  <si>
    <t>BLG-0411</t>
  </si>
  <si>
    <t>BLG-0412</t>
  </si>
  <si>
    <t>BLG-0413</t>
  </si>
  <si>
    <t>BLG-0414</t>
  </si>
  <si>
    <t>BLG-0415</t>
  </si>
  <si>
    <t>BLG-0416</t>
  </si>
  <si>
    <t>BLG-0417</t>
  </si>
  <si>
    <t>BLG-0418</t>
  </si>
  <si>
    <t>BLG-0419</t>
  </si>
  <si>
    <t>BLG-0420</t>
  </si>
  <si>
    <t>BLG-0421</t>
  </si>
  <si>
    <t>BLG-0422</t>
  </si>
  <si>
    <t>BLG-0423</t>
  </si>
  <si>
    <t>BLG-0424</t>
  </si>
  <si>
    <t>BLG-0425</t>
  </si>
  <si>
    <t>BLG-0426</t>
  </si>
  <si>
    <t>BLG-0427</t>
  </si>
  <si>
    <t>BLG-0428</t>
  </si>
  <si>
    <t>BLG-0429</t>
  </si>
  <si>
    <t>BLG-0430</t>
  </si>
  <si>
    <t>BLG-0431</t>
  </si>
  <si>
    <t>BLG-0432</t>
  </si>
  <si>
    <t>BLG-0433</t>
  </si>
  <si>
    <t>BLG-0434</t>
  </si>
  <si>
    <t>BLG-0435</t>
  </si>
  <si>
    <t>BLG-0436</t>
  </si>
  <si>
    <t>BLG-0437</t>
  </si>
  <si>
    <t>BLG-0438</t>
  </si>
  <si>
    <t>BLG-0439</t>
  </si>
  <si>
    <t>BLG-0440</t>
  </si>
  <si>
    <t>BLG-0441</t>
  </si>
  <si>
    <t>BLG-0442</t>
  </si>
  <si>
    <t>BLG-0443</t>
  </si>
  <si>
    <t>BLG-0444</t>
  </si>
  <si>
    <t>BLG-0445</t>
  </si>
  <si>
    <t>BLG-0446</t>
  </si>
  <si>
    <t>BLG-0447</t>
  </si>
  <si>
    <t>BLG-0448</t>
  </si>
  <si>
    <t>BLG-0449</t>
  </si>
  <si>
    <t>BLG-0450</t>
  </si>
  <si>
    <t>BLG-0451</t>
  </si>
  <si>
    <t>BLG-0452</t>
  </si>
  <si>
    <t>BLG-0453</t>
  </si>
  <si>
    <t>BLG-0454</t>
  </si>
  <si>
    <t>BLG-0455</t>
  </si>
  <si>
    <t>BLG-0456</t>
  </si>
  <si>
    <t>BLG-0457</t>
  </si>
  <si>
    <t>BLG-0458</t>
  </si>
  <si>
    <t>BLG-0459</t>
  </si>
  <si>
    <t>BLG-0460</t>
  </si>
  <si>
    <t>BLG-0461</t>
  </si>
  <si>
    <t>BLG-0462</t>
  </si>
  <si>
    <t>BLG-0463</t>
  </si>
  <si>
    <t>BLG-0464</t>
  </si>
  <si>
    <t>BLG-0465</t>
  </si>
  <si>
    <t>BLG-0466</t>
  </si>
  <si>
    <t>BLG-0467</t>
  </si>
  <si>
    <t>BLG-0468</t>
  </si>
  <si>
    <t>BLG-0469</t>
  </si>
  <si>
    <t>BLG-0470</t>
  </si>
  <si>
    <t>BLG-0471</t>
  </si>
  <si>
    <t>BLG-0472</t>
  </si>
  <si>
    <t>BLG-0473</t>
  </si>
  <si>
    <t>BLG-0474</t>
  </si>
  <si>
    <t>BLG-0475</t>
  </si>
  <si>
    <t>BLG-0476</t>
  </si>
  <si>
    <t>BLG-0477</t>
  </si>
  <si>
    <t>BLG-0478</t>
  </si>
  <si>
    <t>BLG-0479</t>
  </si>
  <si>
    <t>BLG-0480</t>
  </si>
  <si>
    <t>BLG-0481</t>
  </si>
  <si>
    <t>BLG-0482</t>
  </si>
  <si>
    <t>BLG-0483</t>
  </si>
  <si>
    <t>BLG-0484</t>
  </si>
  <si>
    <t>BLG-0485</t>
  </si>
  <si>
    <t>BLG-0486</t>
  </si>
  <si>
    <t>BLG-0487</t>
  </si>
  <si>
    <t>BLG-0488</t>
  </si>
  <si>
    <t>BLG-0489</t>
  </si>
  <si>
    <t>BLG-0490</t>
  </si>
  <si>
    <t>BLG-0491</t>
  </si>
  <si>
    <t>BLG-0492</t>
  </si>
  <si>
    <t>BLG-0493</t>
  </si>
  <si>
    <t>BLG-0494</t>
  </si>
  <si>
    <t>BLG-0495</t>
  </si>
  <si>
    <t>BLG-0496</t>
  </si>
  <si>
    <t>BLG-0497</t>
  </si>
  <si>
    <t>BLG-0498</t>
  </si>
  <si>
    <t>BLG-0499</t>
  </si>
  <si>
    <t>BLG-0500</t>
  </si>
  <si>
    <t>Order_ID</t>
  </si>
  <si>
    <t>Order_Date</t>
  </si>
  <si>
    <t>Locality</t>
  </si>
  <si>
    <t>Customer_Segment</t>
  </si>
  <si>
    <t>Product_Category</t>
  </si>
  <si>
    <t>Order_Status</t>
  </si>
  <si>
    <t>Sales_Channel</t>
  </si>
  <si>
    <t>Payment_Mode</t>
  </si>
  <si>
    <t>Quantity</t>
  </si>
  <si>
    <t>Order_Amount</t>
  </si>
  <si>
    <t>Total Sales</t>
  </si>
  <si>
    <t>Month</t>
  </si>
  <si>
    <t>Row Labels</t>
  </si>
  <si>
    <t>Grand Total</t>
  </si>
  <si>
    <t>Jan</t>
  </si>
  <si>
    <t>Feb</t>
  </si>
  <si>
    <t>Mar</t>
  </si>
  <si>
    <t>Apr</t>
  </si>
  <si>
    <t>May</t>
  </si>
  <si>
    <t>Jun</t>
  </si>
  <si>
    <t>Jul</t>
  </si>
  <si>
    <t>Aug</t>
  </si>
  <si>
    <t>Sep</t>
  </si>
  <si>
    <t>Oct</t>
  </si>
  <si>
    <t>Nov</t>
  </si>
  <si>
    <t>Dec</t>
  </si>
  <si>
    <t>Sum of Total Sales</t>
  </si>
  <si>
    <t>Sum of Quantity</t>
  </si>
  <si>
    <t>Count of Order_ID</t>
  </si>
  <si>
    <t>Count of Order_Status</t>
  </si>
  <si>
    <t>Count delivered orders</t>
  </si>
  <si>
    <t>Count cancelled orders</t>
  </si>
  <si>
    <t>Total revenue from Grocery orders</t>
  </si>
  <si>
    <t>Total revenue collected via UPI</t>
  </si>
  <si>
    <t>Average order amount for Online channel</t>
  </si>
  <si>
    <t>Average quantity for Wholesale segment</t>
  </si>
  <si>
    <t>Count orders from Tilakwadi that were Returned</t>
  </si>
  <si>
    <t>Count Corporate orders paid by Card</t>
  </si>
  <si>
    <t>Total revenue from Shahapur Wholesale orders</t>
  </si>
  <si>
    <t>Total revenue from Electronics that were Delivered</t>
  </si>
  <si>
    <t>Average order amount for Vadgaon Retail Delivered orders</t>
  </si>
  <si>
    <t>Average quantity for Restaurant orders paid in Cash</t>
  </si>
  <si>
    <t>Count orders with quantity &gt;= 10</t>
  </si>
  <si>
    <t>Total revenue for orders with amount &gt; 5000</t>
  </si>
  <si>
    <t>Count orders in Aug 2025</t>
  </si>
  <si>
    <t>Total revenue in Q4 2025 (Oct-Dec)</t>
  </si>
  <si>
    <t>Average order amount for Dairy + UPI + Delivered</t>
  </si>
  <si>
    <t>Total revenue for Phone orders that are not Cancelled</t>
  </si>
  <si>
    <t>Count localities starting with 'H' (e.g., Hindwadi/Hanuman Nagar)</t>
  </si>
  <si>
    <t>Total revenue from Mobile Accessories in Angol or Camp</t>
  </si>
  <si>
    <t xml:space="preserve">S no </t>
  </si>
  <si>
    <t>Business Problem</t>
  </si>
  <si>
    <t>Count of Order_Amount</t>
  </si>
  <si>
    <t>Sum of Order_Amount</t>
  </si>
  <si>
    <t>Average of Order_Amount</t>
  </si>
  <si>
    <t>Average of Quantity</t>
  </si>
  <si>
    <t>Column Labels</t>
  </si>
  <si>
    <t>Count of Customer_Segment</t>
  </si>
  <si>
    <t>(Multiple Items)</t>
  </si>
  <si>
    <t>Count of Quantity</t>
  </si>
  <si>
    <t>Count of Order_Date</t>
  </si>
  <si>
    <t>Count of Locality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</si>
</sst>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quot;₹&quot;\ #,##0.00"/>
    <numFmt numFmtId="166" formatCode="&quot;₹&quot;\ #,##0.00,,&quot;M&quot;"/>
    <numFmt numFmtId="167" formatCode="\ #,##0.00,,&quot;M&quot;"/>
  </numFmts>
  <fonts count="7" x14ac:knownFonts="1">
    <font>
      <sz val="11"/>
      <color theme="1"/>
      <name val="Calibri"/>
      <family val="2"/>
      <scheme val="minor"/>
    </font>
    <font>
      <b/>
      <sz val="11"/>
      <color rgb="FFFFFFFF"/>
      <name val="Calibri"/>
      <family val="2"/>
    </font>
    <font>
      <b/>
      <sz val="11"/>
      <color rgb="FFFFFFFF"/>
      <name val="Calibri"/>
      <family val="2"/>
    </font>
    <font>
      <sz val="14"/>
      <color theme="1"/>
      <name val="Calibri"/>
      <family val="2"/>
      <scheme val="minor"/>
    </font>
    <font>
      <sz val="11"/>
      <color rgb="FFFF0000"/>
      <name val="Calibri"/>
      <family val="2"/>
      <scheme val="minor"/>
    </font>
    <font>
      <b/>
      <sz val="14"/>
      <color theme="1"/>
      <name val="Calibri"/>
      <family val="2"/>
      <scheme val="minor"/>
    </font>
    <font>
      <b/>
      <sz val="12"/>
      <color rgb="FFFF0000"/>
      <name val="Calibri"/>
      <family val="2"/>
      <scheme val="minor"/>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25">
    <xf numFmtId="0" fontId="0" fillId="0" borderId="0" xfId="0"/>
    <xf numFmtId="0" fontId="1" fillId="2" borderId="0" xfId="0" applyFont="1" applyFill="1" applyAlignment="1">
      <alignment horizontal="center" vertical="center"/>
    </xf>
    <xf numFmtId="164" fontId="0" fillId="0" borderId="0" xfId="0" applyNumberFormat="1"/>
    <xf numFmtId="4" fontId="0" fillId="0" borderId="0" xfId="0" applyNumberFormat="1"/>
    <xf numFmtId="0" fontId="2" fillId="2" borderId="0" xfId="0" applyFont="1" applyFill="1" applyAlignment="1">
      <alignment horizontal="center" vertical="center"/>
    </xf>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0" fontId="0" fillId="0" borderId="0" xfId="0" applyNumberFormat="1"/>
    <xf numFmtId="167" fontId="0" fillId="0" borderId="0" xfId="0" applyNumberFormat="1"/>
    <xf numFmtId="9" fontId="0" fillId="0" borderId="0" xfId="0" applyNumberFormat="1"/>
    <xf numFmtId="0" fontId="0" fillId="0" borderId="0" xfId="0" applyAlignment="1">
      <alignment horizontal="center"/>
    </xf>
    <xf numFmtId="0" fontId="3" fillId="0" borderId="0" xfId="0" applyFont="1"/>
    <xf numFmtId="0" fontId="5" fillId="0" borderId="0" xfId="0" applyFont="1"/>
    <xf numFmtId="0" fontId="6" fillId="0" borderId="0" xfId="0" applyFont="1"/>
    <xf numFmtId="4" fontId="6" fillId="0" borderId="0" xfId="0" applyNumberFormat="1" applyFont="1"/>
    <xf numFmtId="164" fontId="6" fillId="0" borderId="0" xfId="0" applyNumberFormat="1" applyFont="1"/>
    <xf numFmtId="0" fontId="4" fillId="0" borderId="0" xfId="0" applyFont="1"/>
    <xf numFmtId="0" fontId="5"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left"/>
    </xf>
    <xf numFmtId="0" fontId="3" fillId="0" borderId="0" xfId="0" applyFont="1" applyAlignment="1">
      <alignment horizontal="center"/>
    </xf>
    <xf numFmtId="0" fontId="0" fillId="0" borderId="0" xfId="0" applyNumberFormat="1"/>
    <xf numFmtId="166" fontId="0" fillId="0" borderId="0" xfId="0" applyNumberFormat="1" applyFont="1"/>
  </cellXfs>
  <cellStyles count="1">
    <cellStyle name="Normal" xfId="0" builtinId="0"/>
  </cellStyles>
  <dxfs count="124">
    <dxf>
      <numFmt numFmtId="167" formatCode="\ #,##0.00,,&quot;M&quot;"/>
    </dxf>
    <dxf>
      <numFmt numFmtId="167" formatCode="\ #,##0.00,,&quot;M&quot;"/>
    </dxf>
    <dxf>
      <numFmt numFmtId="167" formatCode="\ #,##0.00,,&quot;M&quot;"/>
    </dxf>
    <dxf>
      <numFmt numFmtId="166" formatCode="&quot;₹&quot;\ #,##0.00,,&quot;M&quot;"/>
    </dxf>
    <dxf>
      <font>
        <sz val="11"/>
      </font>
    </dxf>
    <dxf>
      <numFmt numFmtId="166" formatCode="&quot;₹&quot;\ #,##0.00,,&quot;M&quot;"/>
    </dxf>
    <dxf>
      <numFmt numFmtId="167" formatCode="\ #,##0.00,,&quot;M&quot;"/>
    </dxf>
    <dxf>
      <numFmt numFmtId="167" formatCode="\ #,##0.00,,&quot;M&quot;"/>
    </dxf>
    <dxf>
      <numFmt numFmtId="167" formatCode="\ #,##0.00,,&quot;M&quot;"/>
    </dxf>
    <dxf>
      <numFmt numFmtId="167" formatCode="\ #,##0.00,,&quot;M&quot;"/>
    </dxf>
    <dxf>
      <numFmt numFmtId="166" formatCode="&quot;₹&quot;\ #,##0.00,,&quot;M&quot;"/>
    </dxf>
    <dxf>
      <font>
        <sz val="11"/>
      </font>
    </dxf>
    <dxf>
      <numFmt numFmtId="166" formatCode="&quot;₹&quot;\ #,##0.00,,&quot;M&quot;"/>
    </dxf>
    <dxf>
      <numFmt numFmtId="167" formatCode="\ #,##0.00,,&quot;M&quot;"/>
    </dxf>
    <dxf>
      <numFmt numFmtId="167" formatCode="\ #,##0.00,,&quot;M&quot;"/>
    </dxf>
    <dxf>
      <numFmt numFmtId="167" formatCode="\ #,##0.00,,&quot;M&quot;"/>
    </dxf>
    <dxf>
      <numFmt numFmtId="167" formatCode="\ #,##0.00,,&quot;M&quot;"/>
    </dxf>
    <dxf>
      <numFmt numFmtId="166" formatCode="&quot;₹&quot;\ #,##0.00,,&quot;M&quot;"/>
    </dxf>
    <dxf>
      <font>
        <sz val="11"/>
      </font>
    </dxf>
    <dxf>
      <numFmt numFmtId="166" formatCode="&quot;₹&quot;\ #,##0.00,,&quot;M&quot;"/>
    </dxf>
    <dxf>
      <numFmt numFmtId="167" formatCode="\ #,##0.00,,&quot;M&quot;"/>
    </dxf>
    <dxf>
      <numFmt numFmtId="167" formatCode="\ #,##0.00,,&quot;M&quot;"/>
    </dxf>
    <dxf>
      <numFmt numFmtId="167" formatCode="\ #,##0.00,,&quot;M&quot;"/>
    </dxf>
    <dxf>
      <numFmt numFmtId="167" formatCode="\ #,##0.00,,&quot;M&quot;"/>
    </dxf>
    <dxf>
      <numFmt numFmtId="166" formatCode="&quot;₹&quot;\ #,##0.00,,&quot;M&quot;"/>
    </dxf>
    <dxf>
      <font>
        <sz val="11"/>
      </font>
    </dxf>
    <dxf>
      <numFmt numFmtId="166" formatCode="&quot;₹&quot;\ #,##0.00,,&quot;M&quot;"/>
    </dxf>
    <dxf>
      <numFmt numFmtId="167" formatCode="\ #,##0.00,,&quot;M&quot;"/>
    </dxf>
    <dxf>
      <numFmt numFmtId="167" formatCode="\ #,##0.00,,&quot;M&quot;"/>
    </dxf>
    <dxf>
      <numFmt numFmtId="167" formatCode="\ #,##0.00,,&quot;M&quot;"/>
    </dxf>
    <dxf>
      <numFmt numFmtId="167" formatCode="\ #,##0.00,,&quot;M&quot;"/>
    </dxf>
    <dxf>
      <numFmt numFmtId="166" formatCode="&quot;₹&quot;\ #,##0.00,,&quot;M&quot;"/>
    </dxf>
    <dxf>
      <font>
        <sz val="11"/>
      </font>
    </dxf>
    <dxf>
      <numFmt numFmtId="166" formatCode="&quot;₹&quot;\ #,##0.00,,&quot;M&quot;"/>
    </dxf>
    <dxf>
      <numFmt numFmtId="167" formatCode="\ #,##0.00,,&quot;M&quot;"/>
    </dxf>
    <dxf>
      <numFmt numFmtId="167" formatCode="\ #,##0.00,,&quot;M&quot;"/>
    </dxf>
    <dxf>
      <numFmt numFmtId="167" formatCode="\ #,##0.00,,&quot;M&quot;"/>
    </dxf>
    <dxf>
      <numFmt numFmtId="167" formatCode="\ #,##0.00,,&quot;M&quot;"/>
    </dxf>
    <dxf>
      <numFmt numFmtId="166" formatCode="&quot;₹&quot;\ #,##0.00,,&quot;M&quot;"/>
    </dxf>
    <dxf>
      <font>
        <sz val="11"/>
      </font>
    </dxf>
    <dxf>
      <numFmt numFmtId="166" formatCode="&quot;₹&quot;\ #,##0.00,,&quot;M&quot;"/>
    </dxf>
    <dxf>
      <numFmt numFmtId="167" formatCode="\ #,##0.00,,&quot;M&quot;"/>
    </dxf>
    <dxf>
      <numFmt numFmtId="167" formatCode="\ #,##0.00,,&quot;M&quot;"/>
    </dxf>
    <dxf>
      <numFmt numFmtId="166" formatCode="&quot;₹&quot;\ #,##0.00,,&quot;M&quot;"/>
    </dxf>
    <dxf>
      <numFmt numFmtId="167" formatCode="\ #,##0.00,,&quot;M&quot;"/>
    </dxf>
    <dxf>
      <numFmt numFmtId="167" formatCode="\ #,##0.00,,&quot;M&quot;"/>
    </dxf>
    <dxf>
      <font>
        <sz val="11"/>
      </font>
    </dxf>
    <dxf>
      <numFmt numFmtId="166" formatCode="&quot;₹&quot;\ #,##0.00,,&quot;M&quot;"/>
    </dxf>
    <dxf>
      <numFmt numFmtId="167" formatCode="\ #,##0.00,,&quot;M&quot;"/>
    </dxf>
    <dxf>
      <font>
        <sz val="12"/>
      </font>
    </dxf>
    <dxf>
      <font>
        <color rgb="FFFF0000"/>
      </font>
    </dxf>
    <dxf>
      <font>
        <b/>
      </font>
    </dxf>
    <dxf>
      <font>
        <color rgb="FFFF0000"/>
      </font>
    </dxf>
    <dxf>
      <font>
        <sz val="12"/>
      </font>
    </dxf>
    <dxf>
      <font>
        <b/>
      </font>
    </dxf>
    <dxf>
      <font>
        <sz val="12"/>
      </font>
    </dxf>
    <dxf>
      <font>
        <b/>
      </font>
    </dxf>
    <dxf>
      <font>
        <color rgb="FFFF0000"/>
      </font>
    </dxf>
    <dxf>
      <font>
        <color rgb="FFFF0000"/>
      </font>
    </dxf>
    <dxf>
      <font>
        <sz val="12"/>
      </font>
    </dxf>
    <dxf>
      <font>
        <b/>
      </font>
    </dxf>
    <dxf>
      <font>
        <b/>
      </font>
    </dxf>
    <dxf>
      <font>
        <sz val="12"/>
      </font>
    </dxf>
    <dxf>
      <font>
        <color rgb="FFFF0000"/>
      </font>
    </dxf>
    <dxf>
      <font>
        <color rgb="FFFF0000"/>
      </font>
    </dxf>
    <dxf>
      <font>
        <sz val="12"/>
      </font>
    </dxf>
    <dxf>
      <font>
        <b/>
      </font>
    </dxf>
    <dxf>
      <font>
        <color rgb="FFFF0000"/>
      </font>
    </dxf>
    <dxf>
      <font>
        <sz val="12"/>
      </font>
    </dxf>
    <dxf>
      <font>
        <b/>
      </font>
    </dxf>
    <dxf>
      <font>
        <color rgb="FFFF0000"/>
      </font>
    </dxf>
    <dxf>
      <font>
        <sz val="12"/>
      </font>
    </dxf>
    <dxf>
      <font>
        <b/>
      </font>
    </dxf>
    <dxf>
      <font>
        <sz val="12"/>
      </font>
    </dxf>
    <dxf>
      <font>
        <color rgb="FFFF0000"/>
      </font>
    </dxf>
    <dxf>
      <font>
        <b/>
      </font>
    </dxf>
    <dxf>
      <font>
        <sz val="12"/>
      </font>
    </dxf>
    <dxf>
      <font>
        <sz val="12"/>
      </font>
    </dxf>
    <dxf>
      <font>
        <b/>
      </font>
    </dxf>
    <dxf>
      <font>
        <b/>
      </font>
    </dxf>
    <dxf>
      <font>
        <color rgb="FFFF0000"/>
      </font>
    </dxf>
    <dxf>
      <font>
        <color rgb="FFFF0000"/>
      </font>
    </dxf>
    <dxf>
      <font>
        <color rgb="FFFF0000"/>
      </font>
    </dxf>
    <dxf>
      <font>
        <sz val="12"/>
      </font>
    </dxf>
    <dxf>
      <font>
        <b/>
      </font>
    </dxf>
    <dxf>
      <font>
        <sz val="12"/>
      </font>
    </dxf>
    <dxf>
      <font>
        <b/>
      </font>
    </dxf>
    <dxf>
      <font>
        <color rgb="FFFF0000"/>
      </font>
    </dxf>
    <dxf>
      <font>
        <color rgb="FFFF0000"/>
      </font>
    </dxf>
    <dxf>
      <font>
        <b/>
      </font>
    </dxf>
    <dxf>
      <font>
        <b/>
      </font>
    </dxf>
    <dxf>
      <font>
        <sz val="12"/>
      </font>
    </dxf>
    <dxf>
      <font>
        <sz val="12"/>
      </font>
    </dxf>
    <dxf>
      <font>
        <color rgb="FFFF0000"/>
      </font>
    </dxf>
    <dxf>
      <font>
        <b val="0"/>
      </font>
    </dxf>
    <dxf>
      <font>
        <b val="0"/>
      </font>
    </dxf>
    <dxf>
      <font>
        <sz val="12"/>
      </font>
    </dxf>
    <dxf>
      <font>
        <color rgb="FFFF0000"/>
      </font>
    </dxf>
    <dxf>
      <font>
        <b/>
      </font>
    </dxf>
    <dxf>
      <font>
        <sz val="12"/>
      </font>
    </dxf>
    <dxf>
      <font>
        <color rgb="FFFF0000"/>
      </font>
    </dxf>
    <dxf>
      <font>
        <b/>
      </font>
    </dxf>
    <dxf>
      <font>
        <sz val="12"/>
      </font>
    </dxf>
    <dxf>
      <font>
        <color rgb="FFFF0000"/>
      </font>
    </dxf>
    <dxf>
      <font>
        <b/>
      </font>
    </dxf>
    <dxf>
      <font>
        <color rgb="FFFF0000"/>
      </font>
    </dxf>
    <dxf>
      <font>
        <sz val="12"/>
      </font>
    </dxf>
    <dxf>
      <font>
        <b/>
      </font>
    </dxf>
    <dxf>
      <font>
        <color rgb="FFFF0000"/>
      </font>
    </dxf>
    <dxf>
      <font>
        <sz val="12"/>
      </font>
    </dxf>
    <dxf>
      <font>
        <b/>
      </font>
    </dxf>
    <dxf>
      <font>
        <sz val="12"/>
      </font>
    </dxf>
    <dxf>
      <font>
        <color rgb="FFFF0000"/>
      </font>
    </dxf>
    <dxf>
      <font>
        <b/>
      </font>
    </dxf>
    <dxf>
      <font>
        <b/>
      </font>
    </dxf>
    <dxf>
      <font>
        <b/>
      </font>
    </dxf>
    <dxf>
      <font>
        <sz val="12"/>
      </font>
    </dxf>
    <dxf>
      <font>
        <sz val="12"/>
      </font>
    </dxf>
    <dxf>
      <font>
        <color rgb="FFFF0000"/>
      </font>
    </dxf>
    <dxf>
      <font>
        <color rgb="FFFF0000"/>
      </font>
    </dxf>
    <dxf>
      <numFmt numFmtId="4" formatCode="#,##0.00"/>
    </dxf>
    <dxf>
      <numFmt numFmtId="164" formatCode="yyyy\-mm\-dd"/>
    </dxf>
    <dxf>
      <font>
        <color theme="0"/>
      </font>
      <fill>
        <patternFill patternType="none">
          <bgColor auto="1"/>
        </patternFill>
      </fill>
    </dxf>
    <dxf>
      <font>
        <color rgb="FFFFFFFF"/>
      </font>
      <fill>
        <patternFill patternType="solid">
          <bgColor rgb="FF111827"/>
        </patternFill>
      </fill>
    </dxf>
  </dxfs>
  <tableStyles count="1" defaultTableStyle="TableStyleMedium2" defaultPivotStyle="PivotStyleLight16">
    <tableStyle name="Slicer Style 1" pivot="0" table="0" count="10" xr9:uid="{60620109-7352-478F-BAF7-4AFE73885CFB}">
      <tableStyleElement type="wholeTable" dxfId="123"/>
      <tableStyleElement type="headerRow" dxfId="122"/>
    </tableStyle>
  </tableStyles>
  <colors>
    <mruColors>
      <color rgb="FF137C80"/>
      <color rgb="FF0B5C60"/>
      <color rgb="FF2A2F2E"/>
      <color rgb="FF111827"/>
      <color rgb="FF7FE3E6"/>
      <color rgb="FFFFFFFF"/>
      <color rgb="FF0F2F32"/>
      <color rgb="FF0B0F10"/>
      <color rgb="FF1CB2BA"/>
      <color rgb="FF18D4D9"/>
    </mruColors>
  </colors>
  <extLst>
    <ext xmlns:x14="http://schemas.microsoft.com/office/spreadsheetml/2009/9/main" uri="{46F421CA-312F-682f-3DD2-61675219B42D}">
      <x14:dxfs count="8">
        <dxf>
          <fill>
            <patternFill>
              <bgColor rgb="FF0B5C60"/>
            </patternFill>
          </fill>
        </dxf>
        <dxf>
          <fill>
            <patternFill>
              <bgColor rgb="FF0B5C60"/>
            </patternFill>
          </fill>
        </dxf>
        <dxf>
          <font>
            <color rgb="FFFFFFFF"/>
          </font>
          <fill>
            <patternFill>
              <bgColor rgb="FF0B5C60"/>
            </patternFill>
          </fill>
        </dxf>
        <dxf>
          <fill>
            <patternFill>
              <bgColor rgb="FF0B5C60"/>
            </patternFill>
          </fill>
        </dxf>
        <dxf>
          <font>
            <color rgb="FFFFFFFF"/>
          </font>
          <fill>
            <patternFill>
              <bgColor rgb="FF0B5C60"/>
            </patternFill>
          </fill>
        </dxf>
        <dxf>
          <font>
            <color rgb="FFFFFFFF"/>
          </font>
          <fill>
            <patternFill>
              <bgColor rgb="FF0B5C60"/>
            </patternFill>
          </fill>
        </dxf>
        <dxf>
          <font>
            <color rgb="FFFFFFFF"/>
          </font>
          <fill>
            <patternFill>
              <bgColor rgb="FF0B5C60"/>
            </patternFill>
          </fill>
        </dxf>
        <dxf>
          <font>
            <color rgb="FFFFFFFF"/>
          </font>
          <fill>
            <patternFill>
              <bgColor rgb="FF0B5C6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[retail_sales_analysis_excel.xlsx.xlsx]Pivot_Charts!PivotTable2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6.2442149726783705E-2"/>
              <c:y val="3.396981627296579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4.5610466558466872E-2"/>
              <c:y val="4.3229075532225054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5.1611111111111115E-2"/>
              <c:y val="4.78587051618548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6.2730314960630029E-2"/>
              <c:y val="3.3969816272965712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4.3277777777777776E-2"/>
              <c:y val="3.8599445902595592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Pivot_Charts!$B$3</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2-A713-4117-A86B-42D0C211CE21}"/>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6-A713-4117-A86B-42D0C211CE21}"/>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3-A713-4117-A86B-42D0C211CE21}"/>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04-A713-4117-A86B-42D0C211CE21}"/>
              </c:ext>
            </c:extLst>
          </c:dPt>
          <c:dPt>
            <c:idx val="11"/>
            <c:marker>
              <c:symbol val="none"/>
            </c:marker>
            <c:bubble3D val="0"/>
            <c:spPr>
              <a:ln w="28575" cap="rnd">
                <a:solidFill>
                  <a:schemeClr val="accent1"/>
                </a:solidFill>
                <a:round/>
              </a:ln>
              <a:effectLst/>
            </c:spPr>
            <c:extLst>
              <c:ext xmlns:c16="http://schemas.microsoft.com/office/drawing/2014/chart" uri="{C3380CC4-5D6E-409C-BE32-E72D297353CC}">
                <c16:uniqueId val="{00000005-A713-4117-A86B-42D0C211CE21}"/>
              </c:ext>
            </c:extLst>
          </c:dPt>
          <c:dLbls>
            <c:dLbl>
              <c:idx val="1"/>
              <c:layout>
                <c:manualLayout>
                  <c:x val="-6.2442149726783705E-2"/>
                  <c:y val="3.39698162729657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713-4117-A86B-42D0C211CE21}"/>
                </c:ext>
              </c:extLst>
            </c:dLbl>
            <c:dLbl>
              <c:idx val="3"/>
              <c:layout>
                <c:manualLayout>
                  <c:x val="-4.3277777777777776E-2"/>
                  <c:y val="3.85994459025955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713-4117-A86B-42D0C211CE21}"/>
                </c:ext>
              </c:extLst>
            </c:dLbl>
            <c:dLbl>
              <c:idx val="5"/>
              <c:layout>
                <c:manualLayout>
                  <c:x val="-4.5610466558466872E-2"/>
                  <c:y val="4.32290755322250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13-4117-A86B-42D0C211CE21}"/>
                </c:ext>
              </c:extLst>
            </c:dLbl>
            <c:dLbl>
              <c:idx val="8"/>
              <c:layout>
                <c:manualLayout>
                  <c:x val="-5.1611111111111115E-2"/>
                  <c:y val="4.7858705161854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713-4117-A86B-42D0C211CE21}"/>
                </c:ext>
              </c:extLst>
            </c:dLbl>
            <c:dLbl>
              <c:idx val="11"/>
              <c:layout>
                <c:manualLayout>
                  <c:x val="-6.2730314960630029E-2"/>
                  <c:y val="3.39698162729657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713-4117-A86B-42D0C211CE21}"/>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Pivot_Charts!$B$4:$B$16</c:f>
              <c:numCache>
                <c:formatCode>\ #,##0.00,,"M"</c:formatCode>
                <c:ptCount val="12"/>
                <c:pt idx="0">
                  <c:v>2561715.9000000004</c:v>
                </c:pt>
                <c:pt idx="1">
                  <c:v>1482079.2</c:v>
                </c:pt>
                <c:pt idx="2">
                  <c:v>1465249.4099999997</c:v>
                </c:pt>
                <c:pt idx="3">
                  <c:v>1095693.6299999999</c:v>
                </c:pt>
                <c:pt idx="4">
                  <c:v>2601853.709999999</c:v>
                </c:pt>
                <c:pt idx="5">
                  <c:v>2341174.3199999998</c:v>
                </c:pt>
                <c:pt idx="6">
                  <c:v>2261040.9899999998</c:v>
                </c:pt>
                <c:pt idx="7">
                  <c:v>2550786.3299999996</c:v>
                </c:pt>
                <c:pt idx="8">
                  <c:v>1103775.42</c:v>
                </c:pt>
                <c:pt idx="9">
                  <c:v>3103999.8900000006</c:v>
                </c:pt>
                <c:pt idx="10">
                  <c:v>3499629.73</c:v>
                </c:pt>
                <c:pt idx="11">
                  <c:v>556927.59000000008</c:v>
                </c:pt>
              </c:numCache>
            </c:numRef>
          </c:val>
          <c:smooth val="0"/>
          <c:extLst>
            <c:ext xmlns:c16="http://schemas.microsoft.com/office/drawing/2014/chart" uri="{C3380CC4-5D6E-409C-BE32-E72D297353CC}">
              <c16:uniqueId val="{00000000-A713-4117-A86B-42D0C211CE21}"/>
            </c:ext>
          </c:extLst>
        </c:ser>
        <c:dLbls>
          <c:dLblPos val="t"/>
          <c:showLegendKey val="0"/>
          <c:showVal val="1"/>
          <c:showCatName val="0"/>
          <c:showSerName val="0"/>
          <c:showPercent val="0"/>
          <c:showBubbleSize val="0"/>
        </c:dLbls>
        <c:smooth val="0"/>
        <c:axId val="375630319"/>
        <c:axId val="375646719"/>
      </c:lineChart>
      <c:catAx>
        <c:axId val="37563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46719"/>
        <c:crosses val="autoZero"/>
        <c:auto val="1"/>
        <c:lblAlgn val="ctr"/>
        <c:lblOffset val="100"/>
        <c:noMultiLvlLbl val="0"/>
      </c:catAx>
      <c:valAx>
        <c:axId val="375646719"/>
        <c:scaling>
          <c:orientation val="minMax"/>
        </c:scaling>
        <c:delete val="0"/>
        <c:axPos val="l"/>
        <c:majorGridlines>
          <c:spPr>
            <a:ln w="9525" cap="flat" cmpd="sng" algn="ctr">
              <a:solidFill>
                <a:schemeClr val="tx1">
                  <a:lumMod val="15000"/>
                  <a:lumOff val="85000"/>
                </a:schemeClr>
              </a:solidFill>
              <a:round/>
            </a:ln>
            <a:effectLst/>
          </c:spPr>
        </c:majorGridlines>
        <c:numFmt formatCode="\ #,##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3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[retail_sales_analysis_excel.xlsx.xlsx]Pivot_Charts!PivotTable3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Locality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Pivot_Charts!$B$23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Pivot_Charts!$A$24:$A$29</c:f>
              <c:strCache>
                <c:ptCount val="5"/>
                <c:pt idx="0">
                  <c:v>Ashok Nagar</c:v>
                </c:pt>
                <c:pt idx="1">
                  <c:v>Gandhi Nagar</c:v>
                </c:pt>
                <c:pt idx="2">
                  <c:v>Hanuman Nagar</c:v>
                </c:pt>
                <c:pt idx="3">
                  <c:v>Malmaruti</c:v>
                </c:pt>
                <c:pt idx="4">
                  <c:v>Fort Road</c:v>
                </c:pt>
              </c:strCache>
            </c:strRef>
          </c:cat>
          <c:val>
            <c:numRef>
              <c:f>Pivot_Charts!$B$24:$B$29</c:f>
              <c:numCache>
                <c:formatCode>\ #,##0.00,,"M"</c:formatCode>
                <c:ptCount val="5"/>
                <c:pt idx="0">
                  <c:v>3306257.7399999984</c:v>
                </c:pt>
                <c:pt idx="1">
                  <c:v>2824211.6799999997</c:v>
                </c:pt>
                <c:pt idx="2">
                  <c:v>2686294.9199999995</c:v>
                </c:pt>
                <c:pt idx="3">
                  <c:v>1918620.8799999994</c:v>
                </c:pt>
                <c:pt idx="4">
                  <c:v>1615307.6099999999</c:v>
                </c:pt>
              </c:numCache>
            </c:numRef>
          </c:val>
          <c:extLst>
            <c:ext xmlns:c16="http://schemas.microsoft.com/office/drawing/2014/chart" uri="{C3380CC4-5D6E-409C-BE32-E72D297353CC}">
              <c16:uniqueId val="{00000000-34E9-43F3-9892-37FCA6BAA60C}"/>
            </c:ext>
          </c:extLst>
        </c:ser>
        <c:dLbls>
          <c:dLblPos val="outEnd"/>
          <c:showLegendKey val="0"/>
          <c:showVal val="1"/>
          <c:showCatName val="0"/>
          <c:showSerName val="0"/>
          <c:showPercent val="0"/>
          <c:showBubbleSize val="0"/>
        </c:dLbls>
        <c:gapWidth val="219"/>
        <c:overlap val="-27"/>
        <c:axId val="419932799"/>
        <c:axId val="419931839"/>
      </c:barChart>
      <c:catAx>
        <c:axId val="41993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931839"/>
        <c:crosses val="autoZero"/>
        <c:auto val="1"/>
        <c:lblAlgn val="ctr"/>
        <c:lblOffset val="100"/>
        <c:noMultiLvlLbl val="0"/>
      </c:catAx>
      <c:valAx>
        <c:axId val="419931839"/>
        <c:scaling>
          <c:orientation val="minMax"/>
        </c:scaling>
        <c:delete val="0"/>
        <c:axPos val="l"/>
        <c:majorGridlines>
          <c:spPr>
            <a:ln w="9525" cap="flat" cmpd="sng" algn="ctr">
              <a:solidFill>
                <a:schemeClr val="tx1">
                  <a:lumMod val="15000"/>
                  <a:lumOff val="85000"/>
                </a:schemeClr>
              </a:solidFill>
              <a:round/>
            </a:ln>
            <a:effectLst/>
          </c:spPr>
        </c:majorGridlines>
        <c:numFmt formatCode="\ #,##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932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[retail_sales_analysis_excel.xlsx.xlsx]Pivot_Charts!PivotTable4</c:name>
    <c:fmtId val="0"/>
  </c:pivotSource>
  <c:chart>
    <c:title>
      <c:tx>
        <c:rich>
          <a:bodyPr rot="0" spcFirstLastPara="1" vertOverflow="ellipsis" vert="horz" wrap="square" anchor="ctr" anchorCtr="1"/>
          <a:lstStyle/>
          <a:p>
            <a:pPr>
              <a:defRPr sz="840" b="0" i="0" u="none" strike="noStrike" kern="1200" spc="0" baseline="0">
                <a:solidFill>
                  <a:schemeClr val="tx1">
                    <a:lumMod val="65000"/>
                    <a:lumOff val="35000"/>
                  </a:schemeClr>
                </a:solidFill>
                <a:latin typeface="+mn-lt"/>
                <a:ea typeface="+mn-ea"/>
                <a:cs typeface="+mn-cs"/>
              </a:defRPr>
            </a:pPr>
            <a:r>
              <a:rPr lang="en-US"/>
              <a:t>Salea by Product Category</a:t>
            </a:r>
          </a:p>
        </c:rich>
      </c:tx>
      <c:overlay val="0"/>
      <c:spPr>
        <a:noFill/>
        <a:ln>
          <a:noFill/>
        </a:ln>
        <a:effectLst/>
      </c:spPr>
      <c:txPr>
        <a:bodyPr rot="0" spcFirstLastPara="1" vertOverflow="ellipsis" vert="horz" wrap="square" anchor="ctr" anchorCtr="1"/>
        <a:lstStyle/>
        <a:p>
          <a:pPr>
            <a:defRPr sz="8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Pivot_Charts!$B$38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Pivot_Charts!$A$39:$A$44</c:f>
              <c:strCache>
                <c:ptCount val="5"/>
                <c:pt idx="0">
                  <c:v>Pharmacy</c:v>
                </c:pt>
                <c:pt idx="1">
                  <c:v>Grocery</c:v>
                </c:pt>
                <c:pt idx="2">
                  <c:v>Electronics</c:v>
                </c:pt>
                <c:pt idx="3">
                  <c:v>Apparel</c:v>
                </c:pt>
                <c:pt idx="4">
                  <c:v>Home Appliances</c:v>
                </c:pt>
              </c:strCache>
            </c:strRef>
          </c:cat>
          <c:val>
            <c:numRef>
              <c:f>Pivot_Charts!$B$39:$B$44</c:f>
              <c:numCache>
                <c:formatCode>\ #,##0.00,,"M"</c:formatCode>
                <c:ptCount val="5"/>
                <c:pt idx="0">
                  <c:v>1709830.83</c:v>
                </c:pt>
                <c:pt idx="1">
                  <c:v>2256759.69</c:v>
                </c:pt>
                <c:pt idx="2">
                  <c:v>3324431.2399999998</c:v>
                </c:pt>
                <c:pt idx="3">
                  <c:v>4676084.3699999992</c:v>
                </c:pt>
                <c:pt idx="4">
                  <c:v>6943352.6499999994</c:v>
                </c:pt>
              </c:numCache>
            </c:numRef>
          </c:val>
          <c:extLst>
            <c:ext xmlns:c16="http://schemas.microsoft.com/office/drawing/2014/chart" uri="{C3380CC4-5D6E-409C-BE32-E72D297353CC}">
              <c16:uniqueId val="{00000000-C17E-472C-A1B7-718649616BD9}"/>
            </c:ext>
          </c:extLst>
        </c:ser>
        <c:dLbls>
          <c:dLblPos val="outEnd"/>
          <c:showLegendKey val="0"/>
          <c:showVal val="1"/>
          <c:showCatName val="0"/>
          <c:showSerName val="0"/>
          <c:showPercent val="0"/>
          <c:showBubbleSize val="0"/>
        </c:dLbls>
        <c:gapWidth val="182"/>
        <c:axId val="633559615"/>
        <c:axId val="633561055"/>
      </c:barChart>
      <c:catAx>
        <c:axId val="633559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33561055"/>
        <c:crosses val="autoZero"/>
        <c:auto val="1"/>
        <c:lblAlgn val="ctr"/>
        <c:lblOffset val="100"/>
        <c:noMultiLvlLbl val="0"/>
      </c:catAx>
      <c:valAx>
        <c:axId val="633561055"/>
        <c:scaling>
          <c:orientation val="minMax"/>
        </c:scaling>
        <c:delete val="0"/>
        <c:axPos val="b"/>
        <c:majorGridlines>
          <c:spPr>
            <a:ln w="9525" cap="flat" cmpd="sng" algn="ctr">
              <a:solidFill>
                <a:schemeClr val="tx1">
                  <a:lumMod val="15000"/>
                  <a:lumOff val="85000"/>
                </a:schemeClr>
              </a:solidFill>
              <a:round/>
            </a:ln>
            <a:effectLst/>
          </c:spPr>
        </c:majorGridlines>
        <c:numFmt formatCode="\ #,##0.00,,&quot;M&quot;"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3355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[retail_sales_analysis_excel.xlsx.xlsx]Pivot_Charts!PivotTable5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t>Sales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11326860841424"/>
              <c:y val="-0.1092896174863388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6990291262135923"/>
              <c:y val="-8.87978142076502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3349514563106796"/>
              <c:y val="3.415300546448087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2135922330097092"/>
              <c:y val="8.87978142076502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0922330097087378"/>
              <c:y val="0.2185792349726775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dLbl>
          <c:idx val="0"/>
          <c:layout>
            <c:manualLayout>
              <c:x val="-8.4951456310679643E-2"/>
              <c:y val="-0.1434426229508196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dLbl>
          <c:idx val="0"/>
          <c:layout>
            <c:manualLayout>
              <c:x val="0.1011326860841424"/>
              <c:y val="-8.87978142076502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dLbl>
          <c:idx val="0"/>
          <c:layout>
            <c:manualLayout>
              <c:x val="-0.11326860841423948"/>
              <c:y val="-0.1639344262295081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dLbl>
          <c:idx val="0"/>
          <c:layout>
            <c:manualLayout>
              <c:x val="6.0679611650485361E-2"/>
              <c:y val="0.109289617486338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dLbl>
          <c:idx val="0"/>
          <c:layout>
            <c:manualLayout>
              <c:x val="0.1294498381877022"/>
              <c:y val="-5.46448087431695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7.6860841423948223E-2"/>
              <c:y val="6.8306010928961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0922330097087371"/>
              <c:y val="-7.51366120218579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0517799352750809"/>
              <c:y val="-8.87978142076502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Pivot_Charts!$B$53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B57B-4F7C-BB54-E99BAFB26C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B57B-4F7C-BB54-E99BAFB26C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7B-4F7C-BB54-E99BAFB26C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B57B-4F7C-BB54-E99BAFB26CD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B57B-4F7C-BB54-E99BAFB26CDF}"/>
              </c:ext>
            </c:extLst>
          </c:dPt>
          <c:dLbls>
            <c:dLbl>
              <c:idx val="0"/>
              <c:layout>
                <c:manualLayout>
                  <c:x val="0.10922330097087371"/>
                  <c:y val="-7.51366120218579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57B-4F7C-BB54-E99BAFB26CDF}"/>
                </c:ext>
              </c:extLst>
            </c:dLbl>
            <c:dLbl>
              <c:idx val="1"/>
              <c:layout>
                <c:manualLayout>
                  <c:x val="7.6860841423948223E-2"/>
                  <c:y val="6.8306010928961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B57B-4F7C-BB54-E99BAFB26CDF}"/>
                </c:ext>
              </c:extLst>
            </c:dLbl>
            <c:dLbl>
              <c:idx val="2"/>
              <c:layout>
                <c:manualLayout>
                  <c:x val="-0.10517799352750809"/>
                  <c:y val="-8.879781420765027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57B-4F7C-BB54-E99BAFB26CD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Pivot_Charts!$A$54:$A$57</c:f>
              <c:strCache>
                <c:ptCount val="3"/>
                <c:pt idx="0">
                  <c:v>Corporate</c:v>
                </c:pt>
                <c:pt idx="1">
                  <c:v>Retail</c:v>
                </c:pt>
                <c:pt idx="2">
                  <c:v>Wholesale</c:v>
                </c:pt>
              </c:strCache>
            </c:strRef>
          </c:cat>
          <c:val>
            <c:numRef>
              <c:f>Pivot_Charts!$B$54:$B$57</c:f>
              <c:numCache>
                <c:formatCode>0.00%</c:formatCode>
                <c:ptCount val="3"/>
                <c:pt idx="0">
                  <c:v>0.15261935045149502</c:v>
                </c:pt>
                <c:pt idx="1">
                  <c:v>0.28836184714803714</c:v>
                </c:pt>
                <c:pt idx="2">
                  <c:v>0.55901880240046786</c:v>
                </c:pt>
              </c:numCache>
            </c:numRef>
          </c:val>
          <c:extLst>
            <c:ext xmlns:c16="http://schemas.microsoft.com/office/drawing/2014/chart" uri="{C3380CC4-5D6E-409C-BE32-E72D297353CC}">
              <c16:uniqueId val="{00000000-B57B-4F7C-BB54-E99BAFB26CD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[retail_sales_analysis_excel.xlsx.xlsx]Pivot_Charts!PivotTable1</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Sales by Channel</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513513513513506"/>
              <c:y val="-0.12536873156342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9.9099099099099114E-2"/>
              <c:y val="-0.1769911504424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2162162162162163"/>
              <c:y val="3.6873156342182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Pivot_Charts!$B$67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AE01-4663-8AB7-98FF7B13D0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AE01-4663-8AB7-98FF7B13D0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AE01-4663-8AB7-98FF7B13D094}"/>
              </c:ext>
            </c:extLst>
          </c:dPt>
          <c:dLbls>
            <c:dLbl>
              <c:idx val="0"/>
              <c:layout>
                <c:manualLayout>
                  <c:x val="0.13513513513513506"/>
                  <c:y val="-0.125368731563421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E01-4663-8AB7-98FF7B13D094}"/>
                </c:ext>
              </c:extLst>
            </c:dLbl>
            <c:dLbl>
              <c:idx val="1"/>
              <c:layout>
                <c:manualLayout>
                  <c:x val="-0.12162162162162163"/>
                  <c:y val="3.6873156342182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E01-4663-8AB7-98FF7B13D094}"/>
                </c:ext>
              </c:extLst>
            </c:dLbl>
            <c:dLbl>
              <c:idx val="2"/>
              <c:layout>
                <c:manualLayout>
                  <c:x val="-9.9099099099099114E-2"/>
                  <c:y val="-0.176991150442477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E01-4663-8AB7-98FF7B13D09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Pivot_Charts!$A$68:$A$71</c:f>
              <c:strCache>
                <c:ptCount val="3"/>
                <c:pt idx="0">
                  <c:v>In-Store</c:v>
                </c:pt>
                <c:pt idx="1">
                  <c:v>Online</c:v>
                </c:pt>
                <c:pt idx="2">
                  <c:v>Phone</c:v>
                </c:pt>
              </c:strCache>
            </c:strRef>
          </c:cat>
          <c:val>
            <c:numRef>
              <c:f>Pivot_Charts!$B$68:$B$71</c:f>
              <c:numCache>
                <c:formatCode>0.00%</c:formatCode>
                <c:ptCount val="3"/>
                <c:pt idx="0">
                  <c:v>0.50051461452321788</c:v>
                </c:pt>
                <c:pt idx="1">
                  <c:v>0.36579862066285324</c:v>
                </c:pt>
                <c:pt idx="2">
                  <c:v>0.13368676481392894</c:v>
                </c:pt>
              </c:numCache>
            </c:numRef>
          </c:val>
          <c:extLst>
            <c:ext xmlns:c16="http://schemas.microsoft.com/office/drawing/2014/chart" uri="{C3380CC4-5D6E-409C-BE32-E72D297353CC}">
              <c16:uniqueId val="{00000000-AE01-4663-8AB7-98FF7B13D09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[retail_sales_analysis_excel.xlsx.xlsx]Pivot_Charts!PivotTable6</c:name>
    <c:fmtId val="0"/>
  </c:pivotSource>
  <c:chart>
    <c:title>
      <c:tx>
        <c:rich>
          <a:bodyPr rot="0" spcFirstLastPara="1" vertOverflow="ellipsis" vert="horz" wrap="square" anchor="ctr" anchorCtr="1"/>
          <a:lstStyle/>
          <a:p>
            <a:pPr>
              <a:defRPr sz="840" b="0" i="0" u="none" strike="noStrike" kern="1200" spc="0" baseline="0">
                <a:solidFill>
                  <a:schemeClr val="tx1">
                    <a:lumMod val="65000"/>
                    <a:lumOff val="35000"/>
                  </a:schemeClr>
                </a:solidFill>
                <a:latin typeface="+mn-lt"/>
                <a:ea typeface="+mn-ea"/>
                <a:cs typeface="+mn-cs"/>
              </a:defRPr>
            </a:pPr>
            <a:r>
              <a:rPr lang="en-US"/>
              <a:t>Quantity</a:t>
            </a:r>
            <a:r>
              <a:rPr lang="en-US" baseline="0"/>
              <a:t> by Order Status </a:t>
            </a:r>
            <a:endParaRPr lang="en-US"/>
          </a:p>
        </c:rich>
      </c:tx>
      <c:layout>
        <c:manualLayout>
          <c:xMode val="edge"/>
          <c:yMode val="edge"/>
          <c:x val="0.46595308398950142"/>
          <c:y val="4.0160642570281124E-2"/>
        </c:manualLayout>
      </c:layout>
      <c:overlay val="0"/>
      <c:spPr>
        <a:noFill/>
        <a:ln>
          <a:noFill/>
        </a:ln>
        <a:effectLst/>
      </c:spPr>
      <c:txPr>
        <a:bodyPr rot="0" spcFirstLastPara="1" vertOverflow="ellipsis" vert="horz" wrap="square" anchor="ctr" anchorCtr="1"/>
        <a:lstStyle/>
        <a:p>
          <a:pPr>
            <a:defRPr sz="8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4039855072463769"/>
              <c:y val="-3.34672021419009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1.8115942028985508E-2"/>
              <c:y val="-0.1673360107095046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0380434782608703"/>
              <c:y val="-6.693440428380187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23097826086956513"/>
              <c:y val="8.03212851405621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Pivot_Charts!$B$82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80BB-414C-8DB7-1948E588A8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80BB-414C-8DB7-1948E588A8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80BB-414C-8DB7-1948E588A8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80BB-414C-8DB7-1948E588A8BD}"/>
              </c:ext>
            </c:extLst>
          </c:dPt>
          <c:dLbls>
            <c:dLbl>
              <c:idx val="0"/>
              <c:layout>
                <c:manualLayout>
                  <c:x val="0.20380434782608703"/>
                  <c:y val="-6.693440428380187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0BB-414C-8DB7-1948E588A8BD}"/>
                </c:ext>
              </c:extLst>
            </c:dLbl>
            <c:dLbl>
              <c:idx val="1"/>
              <c:layout>
                <c:manualLayout>
                  <c:x val="0.23097826086956513"/>
                  <c:y val="8.03212851405621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0BB-414C-8DB7-1948E588A8BD}"/>
                </c:ext>
              </c:extLst>
            </c:dLbl>
            <c:dLbl>
              <c:idx val="2"/>
              <c:layout>
                <c:manualLayout>
                  <c:x val="-0.14039855072463769"/>
                  <c:y val="-3.346720214190093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0BB-414C-8DB7-1948E588A8BD}"/>
                </c:ext>
              </c:extLst>
            </c:dLbl>
            <c:dLbl>
              <c:idx val="3"/>
              <c:layout>
                <c:manualLayout>
                  <c:x val="-1.8115942028985508E-2"/>
                  <c:y val="-0.1673360107095046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0BB-414C-8DB7-1948E588A8B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Pivot_Charts!$A$83:$A$87</c:f>
              <c:strCache>
                <c:ptCount val="4"/>
                <c:pt idx="0">
                  <c:v>Cancelled</c:v>
                </c:pt>
                <c:pt idx="1">
                  <c:v>Delivered</c:v>
                </c:pt>
                <c:pt idx="2">
                  <c:v>Pending</c:v>
                </c:pt>
                <c:pt idx="3">
                  <c:v>Returned</c:v>
                </c:pt>
              </c:strCache>
            </c:strRef>
          </c:cat>
          <c:val>
            <c:numRef>
              <c:f>Pivot_Charts!$B$83:$B$87</c:f>
              <c:numCache>
                <c:formatCode>0.00%</c:formatCode>
                <c:ptCount val="4"/>
                <c:pt idx="0">
                  <c:v>0.10617399438727783</c:v>
                </c:pt>
                <c:pt idx="1">
                  <c:v>0.70135640785781106</c:v>
                </c:pt>
                <c:pt idx="2">
                  <c:v>0.11950420954162769</c:v>
                </c:pt>
                <c:pt idx="3">
                  <c:v>7.2965388213283439E-2</c:v>
                </c:pt>
              </c:numCache>
            </c:numRef>
          </c:val>
          <c:extLst>
            <c:ext xmlns:c16="http://schemas.microsoft.com/office/drawing/2014/chart" uri="{C3380CC4-5D6E-409C-BE32-E72D297353CC}">
              <c16:uniqueId val="{00000000-80BB-414C-8DB7-1948E588A8B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[retail_sales_analysis_excel.xlsx.xlsx]Pivot_Charts!PivotTable7</c:name>
    <c:fmtId val="2"/>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mn-lt"/>
                <a:ea typeface="+mn-ea"/>
                <a:cs typeface="+mn-cs"/>
              </a:defRPr>
            </a:pPr>
            <a:r>
              <a:rPr lang="en-US"/>
              <a:t>Sales by Payment Method</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Pivot_Charts!$B$94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Pivot_Charts!$A$95:$A$100</c:f>
              <c:strCache>
                <c:ptCount val="5"/>
                <c:pt idx="0">
                  <c:v>UPI</c:v>
                </c:pt>
                <c:pt idx="1">
                  <c:v>Card</c:v>
                </c:pt>
                <c:pt idx="2">
                  <c:v>Cash</c:v>
                </c:pt>
                <c:pt idx="3">
                  <c:v>NetBanking</c:v>
                </c:pt>
                <c:pt idx="4">
                  <c:v>Wallet</c:v>
                </c:pt>
              </c:strCache>
            </c:strRef>
          </c:cat>
          <c:val>
            <c:numRef>
              <c:f>Pivot_Charts!$B$95:$B$100</c:f>
              <c:numCache>
                <c:formatCode>\ #,##0.00,,"M"</c:formatCode>
                <c:ptCount val="5"/>
                <c:pt idx="0">
                  <c:v>12354892.219999999</c:v>
                </c:pt>
                <c:pt idx="1">
                  <c:v>5461530.2299999986</c:v>
                </c:pt>
                <c:pt idx="2">
                  <c:v>4319555.88</c:v>
                </c:pt>
                <c:pt idx="3">
                  <c:v>1952850.4699999997</c:v>
                </c:pt>
                <c:pt idx="4">
                  <c:v>535097.32000000007</c:v>
                </c:pt>
              </c:numCache>
            </c:numRef>
          </c:val>
          <c:extLst>
            <c:ext xmlns:c16="http://schemas.microsoft.com/office/drawing/2014/chart" uri="{C3380CC4-5D6E-409C-BE32-E72D297353CC}">
              <c16:uniqueId val="{00000000-6874-454F-84FB-9EF6ED03222D}"/>
            </c:ext>
          </c:extLst>
        </c:ser>
        <c:dLbls>
          <c:dLblPos val="outEnd"/>
          <c:showLegendKey val="0"/>
          <c:showVal val="1"/>
          <c:showCatName val="0"/>
          <c:showSerName val="0"/>
          <c:showPercent val="0"/>
          <c:showBubbleSize val="0"/>
        </c:dLbls>
        <c:gapWidth val="219"/>
        <c:overlap val="-27"/>
        <c:axId val="2074226048"/>
        <c:axId val="2074236608"/>
      </c:barChart>
      <c:catAx>
        <c:axId val="207422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236608"/>
        <c:crosses val="autoZero"/>
        <c:auto val="1"/>
        <c:lblAlgn val="ctr"/>
        <c:lblOffset val="100"/>
        <c:noMultiLvlLbl val="0"/>
      </c:catAx>
      <c:valAx>
        <c:axId val="2074236608"/>
        <c:scaling>
          <c:orientation val="minMax"/>
        </c:scaling>
        <c:delete val="0"/>
        <c:axPos val="l"/>
        <c:majorGridlines>
          <c:spPr>
            <a:ln w="9525" cap="flat" cmpd="sng" algn="ctr">
              <a:solidFill>
                <a:schemeClr val="tx1">
                  <a:lumMod val="15000"/>
                  <a:lumOff val="85000"/>
                </a:schemeClr>
              </a:solidFill>
              <a:round/>
            </a:ln>
            <a:effectLst/>
          </c:spPr>
        </c:majorGridlines>
        <c:numFmt formatCode="\ #,##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22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[retail_sales_analysis_excel.xlsx.xlsx]Pivot_Charts!PivotTable2</c:name>
    <c:fmtId val="12"/>
  </c:pivotSource>
  <c:chart>
    <c:title>
      <c:tx>
        <c:rich>
          <a:bodyPr rot="0" spcFirstLastPara="1" vertOverflow="ellipsis" vert="horz" wrap="square" anchor="ctr" anchorCtr="1"/>
          <a:lstStyle/>
          <a:p>
            <a:pPr>
              <a:defRPr sz="1300" b="0" i="0" u="sng" strike="noStrike" kern="1200" spc="0" baseline="0">
                <a:solidFill>
                  <a:schemeClr val="bg1"/>
                </a:solidFill>
                <a:latin typeface="Berlin Sans FB" panose="020E0602020502020306" pitchFamily="34" charset="0"/>
                <a:ea typeface="+mn-ea"/>
                <a:cs typeface="+mn-cs"/>
              </a:defRPr>
            </a:pPr>
            <a:r>
              <a:rPr lang="en-US" sz="1300" b="0" u="sng">
                <a:solidFill>
                  <a:schemeClr val="bg1"/>
                </a:solidFill>
                <a:latin typeface="Berlin Sans FB" panose="020E0602020502020306" pitchFamily="34" charset="0"/>
              </a:rPr>
              <a:t>Month wise Sales</a:t>
            </a:r>
          </a:p>
        </c:rich>
      </c:tx>
      <c:overlay val="0"/>
      <c:spPr>
        <a:noFill/>
        <a:ln>
          <a:noFill/>
        </a:ln>
        <a:effectLst/>
      </c:spPr>
      <c:txPr>
        <a:bodyPr rot="0" spcFirstLastPara="1" vertOverflow="ellipsis" vert="horz" wrap="square" anchor="ctr" anchorCtr="1"/>
        <a:lstStyle/>
        <a:p>
          <a:pPr>
            <a:defRPr sz="1300" b="0" i="0" u="sng" strike="noStrike" kern="1200" spc="0" baseline="0">
              <a:solidFill>
                <a:schemeClr val="bg1"/>
              </a:solidFill>
              <a:latin typeface="Berlin Sans FB" panose="020E0602020502020306"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28575" cap="rnd">
            <a:solidFill>
              <a:srgbClr val="0B5C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B5C60"/>
            </a:solidFill>
            <a:round/>
          </a:ln>
          <a:effectLst/>
        </c:spPr>
        <c:marker>
          <c:symbol val="none"/>
        </c:marker>
        <c:dLbl>
          <c:idx val="0"/>
          <c:layout>
            <c:manualLayout>
              <c:x val="-6.2442149726783705E-2"/>
              <c:y val="3.396981627296579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0B5C60"/>
            </a:solidFill>
            <a:round/>
          </a:ln>
          <a:effectLst/>
        </c:spPr>
        <c:marker>
          <c:symbol val="none"/>
        </c:marker>
        <c:dLbl>
          <c:idx val="0"/>
          <c:layout>
            <c:manualLayout>
              <c:x val="-4.3277777777777776E-2"/>
              <c:y val="3.8599445902595592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0B5C60"/>
            </a:solidFill>
            <a:round/>
          </a:ln>
          <a:effectLst/>
        </c:spPr>
        <c:marker>
          <c:symbol val="none"/>
        </c:marker>
        <c:dLbl>
          <c:idx val="0"/>
          <c:layout>
            <c:manualLayout>
              <c:x val="-4.5610466558466872E-2"/>
              <c:y val="4.3229075532225054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0B5C60"/>
            </a:solidFill>
            <a:round/>
          </a:ln>
          <a:effectLst/>
        </c:spPr>
        <c:marker>
          <c:symbol val="none"/>
        </c:marker>
        <c:dLbl>
          <c:idx val="0"/>
          <c:layout>
            <c:manualLayout>
              <c:x val="-5.1611111111111115E-2"/>
              <c:y val="4.78587051618548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0B5C60"/>
            </a:solidFill>
            <a:round/>
          </a:ln>
          <a:effectLst/>
        </c:spPr>
        <c:marker>
          <c:symbol val="none"/>
        </c:marker>
        <c:dLbl>
          <c:idx val="0"/>
          <c:layout>
            <c:manualLayout>
              <c:x val="-6.2730314960630029E-2"/>
              <c:y val="3.3969816272965712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0B5C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0B5C60"/>
            </a:solidFill>
            <a:round/>
          </a:ln>
          <a:effectLst/>
        </c:spPr>
        <c:marker>
          <c:symbol val="none"/>
        </c:marker>
        <c:dLbl>
          <c:idx val="0"/>
          <c:layout>
            <c:manualLayout>
              <c:x val="-6.2442149726783705E-2"/>
              <c:y val="3.396981627296579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0B5C60"/>
            </a:solidFill>
            <a:round/>
          </a:ln>
          <a:effectLst/>
        </c:spPr>
        <c:marker>
          <c:symbol val="none"/>
        </c:marker>
        <c:dLbl>
          <c:idx val="0"/>
          <c:layout>
            <c:manualLayout>
              <c:x val="-4.3277777777777776E-2"/>
              <c:y val="3.8599445902595592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0B5C60"/>
            </a:solidFill>
            <a:round/>
          </a:ln>
          <a:effectLst/>
        </c:spPr>
        <c:marker>
          <c:symbol val="none"/>
        </c:marker>
        <c:dLbl>
          <c:idx val="0"/>
          <c:layout>
            <c:manualLayout>
              <c:x val="-4.5610466558466872E-2"/>
              <c:y val="4.3229075532225054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rgbClr val="0B5C60"/>
            </a:solidFill>
            <a:round/>
          </a:ln>
          <a:effectLst/>
        </c:spPr>
        <c:marker>
          <c:symbol val="none"/>
        </c:marker>
        <c:dLbl>
          <c:idx val="0"/>
          <c:layout>
            <c:manualLayout>
              <c:x val="-5.1611111111111115E-2"/>
              <c:y val="4.78587051618548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0B5C60"/>
            </a:solidFill>
            <a:round/>
          </a:ln>
          <a:effectLst/>
        </c:spPr>
        <c:marker>
          <c:symbol val="none"/>
        </c:marker>
        <c:dLbl>
          <c:idx val="0"/>
          <c:layout>
            <c:manualLayout>
              <c:x val="-6.2730314960630029E-2"/>
              <c:y val="3.3969816272965712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rgbClr val="0B5C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rgbClr val="0B5C60"/>
            </a:solidFill>
            <a:round/>
          </a:ln>
          <a:effectLst/>
        </c:spPr>
        <c:marker>
          <c:symbol val="none"/>
        </c:marker>
        <c:dLbl>
          <c:idx val="0"/>
          <c:layout>
            <c:manualLayout>
              <c:x val="-6.2442149726783705E-2"/>
              <c:y val="3.396981627296579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rgbClr val="0B5C60"/>
            </a:solidFill>
            <a:round/>
          </a:ln>
          <a:effectLst/>
        </c:spPr>
        <c:marker>
          <c:symbol val="none"/>
        </c:marker>
        <c:dLbl>
          <c:idx val="0"/>
          <c:layout>
            <c:manualLayout>
              <c:x val="-4.3277777777777776E-2"/>
              <c:y val="3.8599445902595592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rgbClr val="0B5C60"/>
            </a:solidFill>
            <a:round/>
          </a:ln>
          <a:effectLst/>
        </c:spPr>
        <c:marker>
          <c:symbol val="none"/>
        </c:marker>
        <c:dLbl>
          <c:idx val="0"/>
          <c:layout>
            <c:manualLayout>
              <c:x val="-4.5610466558466872E-2"/>
              <c:y val="4.3229075532225054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rgbClr val="0B5C60"/>
            </a:solidFill>
            <a:round/>
          </a:ln>
          <a:effectLst/>
        </c:spPr>
        <c:marker>
          <c:symbol val="none"/>
        </c:marker>
        <c:dLbl>
          <c:idx val="0"/>
          <c:layout>
            <c:manualLayout>
              <c:x val="-5.1611111111111115E-2"/>
              <c:y val="4.78587051618548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rgbClr val="0B5C60"/>
            </a:solidFill>
            <a:round/>
          </a:ln>
          <a:effectLst/>
        </c:spPr>
        <c:marker>
          <c:symbol val="none"/>
        </c:marker>
        <c:dLbl>
          <c:idx val="0"/>
          <c:layout>
            <c:manualLayout>
              <c:x val="-6.2730314960630029E-2"/>
              <c:y val="3.3969816272965712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Pivot_Charts!$B$3</c:f>
              <c:strCache>
                <c:ptCount val="1"/>
                <c:pt idx="0">
                  <c:v>Total</c:v>
                </c:pt>
              </c:strCache>
            </c:strRef>
          </c:tx>
          <c:spPr>
            <a:ln w="28575" cap="rnd">
              <a:solidFill>
                <a:srgbClr val="0B5C60"/>
              </a:solidFill>
              <a:round/>
            </a:ln>
            <a:effectLst/>
          </c:spPr>
          <c:marker>
            <c:symbol val="none"/>
          </c:marker>
          <c:dPt>
            <c:idx val="1"/>
            <c:marker>
              <c:symbol val="none"/>
            </c:marker>
            <c:bubble3D val="0"/>
            <c:spPr>
              <a:ln w="28575" cap="rnd">
                <a:solidFill>
                  <a:srgbClr val="0B5C60"/>
                </a:solidFill>
                <a:round/>
              </a:ln>
              <a:effectLst/>
            </c:spPr>
            <c:extLst>
              <c:ext xmlns:c16="http://schemas.microsoft.com/office/drawing/2014/chart" uri="{C3380CC4-5D6E-409C-BE32-E72D297353CC}">
                <c16:uniqueId val="{00000001-C240-4E48-878A-8CCA661A54E7}"/>
              </c:ext>
            </c:extLst>
          </c:dPt>
          <c:dPt>
            <c:idx val="3"/>
            <c:marker>
              <c:symbol val="none"/>
            </c:marker>
            <c:bubble3D val="0"/>
            <c:spPr>
              <a:ln w="28575" cap="rnd">
                <a:solidFill>
                  <a:srgbClr val="0B5C60"/>
                </a:solidFill>
                <a:round/>
              </a:ln>
              <a:effectLst/>
            </c:spPr>
            <c:extLst>
              <c:ext xmlns:c16="http://schemas.microsoft.com/office/drawing/2014/chart" uri="{C3380CC4-5D6E-409C-BE32-E72D297353CC}">
                <c16:uniqueId val="{00000003-C240-4E48-878A-8CCA661A54E7}"/>
              </c:ext>
            </c:extLst>
          </c:dPt>
          <c:dPt>
            <c:idx val="5"/>
            <c:marker>
              <c:symbol val="none"/>
            </c:marker>
            <c:bubble3D val="0"/>
            <c:spPr>
              <a:ln w="28575" cap="rnd">
                <a:solidFill>
                  <a:srgbClr val="0B5C60"/>
                </a:solidFill>
                <a:round/>
              </a:ln>
              <a:effectLst/>
            </c:spPr>
            <c:extLst>
              <c:ext xmlns:c16="http://schemas.microsoft.com/office/drawing/2014/chart" uri="{C3380CC4-5D6E-409C-BE32-E72D297353CC}">
                <c16:uniqueId val="{00000005-C240-4E48-878A-8CCA661A54E7}"/>
              </c:ext>
            </c:extLst>
          </c:dPt>
          <c:dPt>
            <c:idx val="8"/>
            <c:marker>
              <c:symbol val="none"/>
            </c:marker>
            <c:bubble3D val="0"/>
            <c:spPr>
              <a:ln w="28575" cap="rnd">
                <a:solidFill>
                  <a:srgbClr val="0B5C60"/>
                </a:solidFill>
                <a:round/>
              </a:ln>
              <a:effectLst/>
            </c:spPr>
            <c:extLst>
              <c:ext xmlns:c16="http://schemas.microsoft.com/office/drawing/2014/chart" uri="{C3380CC4-5D6E-409C-BE32-E72D297353CC}">
                <c16:uniqueId val="{00000007-C240-4E48-878A-8CCA661A54E7}"/>
              </c:ext>
            </c:extLst>
          </c:dPt>
          <c:dPt>
            <c:idx val="11"/>
            <c:marker>
              <c:symbol val="none"/>
            </c:marker>
            <c:bubble3D val="0"/>
            <c:spPr>
              <a:ln w="28575" cap="rnd">
                <a:solidFill>
                  <a:srgbClr val="0B5C60"/>
                </a:solidFill>
                <a:round/>
              </a:ln>
              <a:effectLst/>
            </c:spPr>
            <c:extLst>
              <c:ext xmlns:c16="http://schemas.microsoft.com/office/drawing/2014/chart" uri="{C3380CC4-5D6E-409C-BE32-E72D297353CC}">
                <c16:uniqueId val="{00000009-C240-4E48-878A-8CCA661A54E7}"/>
              </c:ext>
            </c:extLst>
          </c:dPt>
          <c:dLbls>
            <c:dLbl>
              <c:idx val="1"/>
              <c:layout>
                <c:manualLayout>
                  <c:x val="-6.2442149726783705E-2"/>
                  <c:y val="3.39698162729657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240-4E48-878A-8CCA661A54E7}"/>
                </c:ext>
              </c:extLst>
            </c:dLbl>
            <c:dLbl>
              <c:idx val="3"/>
              <c:layout>
                <c:manualLayout>
                  <c:x val="-4.3277777777777776E-2"/>
                  <c:y val="3.85994459025955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40-4E48-878A-8CCA661A54E7}"/>
                </c:ext>
              </c:extLst>
            </c:dLbl>
            <c:dLbl>
              <c:idx val="5"/>
              <c:layout>
                <c:manualLayout>
                  <c:x val="-4.5610466558466872E-2"/>
                  <c:y val="4.32290755322250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240-4E48-878A-8CCA661A54E7}"/>
                </c:ext>
              </c:extLst>
            </c:dLbl>
            <c:dLbl>
              <c:idx val="8"/>
              <c:layout>
                <c:manualLayout>
                  <c:x val="-5.1611111111111115E-2"/>
                  <c:y val="4.7858705161854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240-4E48-878A-8CCA661A54E7}"/>
                </c:ext>
              </c:extLst>
            </c:dLbl>
            <c:dLbl>
              <c:idx val="11"/>
              <c:layout>
                <c:manualLayout>
                  <c:x val="-6.2730314960630029E-2"/>
                  <c:y val="3.39698162729657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240-4E48-878A-8CCA661A54E7}"/>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Pivot_Charts!$B$4:$B$16</c:f>
              <c:numCache>
                <c:formatCode>\ #,##0.00,,"M"</c:formatCode>
                <c:ptCount val="12"/>
                <c:pt idx="0">
                  <c:v>2561715.9000000004</c:v>
                </c:pt>
                <c:pt idx="1">
                  <c:v>1482079.2</c:v>
                </c:pt>
                <c:pt idx="2">
                  <c:v>1465249.4099999997</c:v>
                </c:pt>
                <c:pt idx="3">
                  <c:v>1095693.6299999999</c:v>
                </c:pt>
                <c:pt idx="4">
                  <c:v>2601853.709999999</c:v>
                </c:pt>
                <c:pt idx="5">
                  <c:v>2341174.3199999998</c:v>
                </c:pt>
                <c:pt idx="6">
                  <c:v>2261040.9899999998</c:v>
                </c:pt>
                <c:pt idx="7">
                  <c:v>2550786.3299999996</c:v>
                </c:pt>
                <c:pt idx="8">
                  <c:v>1103775.42</c:v>
                </c:pt>
                <c:pt idx="9">
                  <c:v>3103999.8900000006</c:v>
                </c:pt>
                <c:pt idx="10">
                  <c:v>3499629.73</c:v>
                </c:pt>
                <c:pt idx="11">
                  <c:v>556927.59000000008</c:v>
                </c:pt>
              </c:numCache>
            </c:numRef>
          </c:val>
          <c:smooth val="0"/>
          <c:extLst>
            <c:ext xmlns:c16="http://schemas.microsoft.com/office/drawing/2014/chart" uri="{C3380CC4-5D6E-409C-BE32-E72D297353CC}">
              <c16:uniqueId val="{0000000A-C240-4E48-878A-8CCA661A54E7}"/>
            </c:ext>
          </c:extLst>
        </c:ser>
        <c:dLbls>
          <c:dLblPos val="t"/>
          <c:showLegendKey val="0"/>
          <c:showVal val="1"/>
          <c:showCatName val="0"/>
          <c:showSerName val="0"/>
          <c:showPercent val="0"/>
          <c:showBubbleSize val="0"/>
        </c:dLbls>
        <c:smooth val="0"/>
        <c:axId val="375630319"/>
        <c:axId val="375646719"/>
      </c:lineChart>
      <c:catAx>
        <c:axId val="37563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5646719"/>
        <c:crosses val="autoZero"/>
        <c:auto val="1"/>
        <c:lblAlgn val="ctr"/>
        <c:lblOffset val="100"/>
        <c:noMultiLvlLbl val="0"/>
      </c:catAx>
      <c:valAx>
        <c:axId val="375646719"/>
        <c:scaling>
          <c:orientation val="minMax"/>
        </c:scaling>
        <c:delete val="0"/>
        <c:axPos val="l"/>
        <c:majorGridlines>
          <c:spPr>
            <a:ln w="9525" cap="flat" cmpd="sng" algn="ctr">
              <a:solidFill>
                <a:srgbClr val="0B5C60">
                  <a:alpha val="59000"/>
                </a:srgbClr>
              </a:solidFill>
              <a:round/>
            </a:ln>
            <a:effectLst/>
          </c:spPr>
        </c:majorGridlines>
        <c:numFmt formatCode="\ #,##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563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[retail_sales_analysis_excel.xlsx.xlsx]Pivot_Charts!PivotTable3</c:name>
    <c:fmtId val="8"/>
  </c:pivotSource>
  <c:chart>
    <c:title>
      <c:tx>
        <c:rich>
          <a:bodyPr rot="0" spcFirstLastPara="1" vertOverflow="ellipsis" vert="horz" wrap="square" anchor="ctr" anchorCtr="1"/>
          <a:lstStyle/>
          <a:p>
            <a:pPr algn="ctr" rtl="0">
              <a:defRPr lang="en-US" sz="1300" b="0" i="0" u="sng" strike="noStrike" kern="1200" spc="0" baseline="0">
                <a:solidFill>
                  <a:schemeClr val="bg1"/>
                </a:solidFill>
                <a:latin typeface="Berlin Sans FB" panose="020E0602020502020306" pitchFamily="34" charset="0"/>
                <a:ea typeface="+mn-ea"/>
                <a:cs typeface="+mn-cs"/>
              </a:defRPr>
            </a:pPr>
            <a:r>
              <a:rPr lang="en-US" sz="1300" b="0" i="0" u="sng" strike="noStrike" kern="1200" spc="0" baseline="0">
                <a:solidFill>
                  <a:schemeClr val="bg1"/>
                </a:solidFill>
                <a:latin typeface="Berlin Sans FB" panose="020E0602020502020306" pitchFamily="34" charset="0"/>
                <a:ea typeface="+mn-ea"/>
                <a:cs typeface="+mn-cs"/>
              </a:rPr>
              <a:t>Sales by Locality</a:t>
            </a:r>
          </a:p>
        </c:rich>
      </c:tx>
      <c:overlay val="0"/>
      <c:spPr>
        <a:noFill/>
        <a:ln>
          <a:noFill/>
        </a:ln>
        <a:effectLst/>
      </c:spPr>
      <c:txPr>
        <a:bodyPr rot="0" spcFirstLastPara="1" vertOverflow="ellipsis" vert="horz" wrap="square" anchor="ctr" anchorCtr="1"/>
        <a:lstStyle/>
        <a:p>
          <a:pPr algn="ctr" rtl="0">
            <a:defRPr lang="en-US" sz="1300" b="0" i="0" u="sng" strike="noStrike" kern="1200" spc="0" baseline="0">
              <a:solidFill>
                <a:schemeClr val="bg1"/>
              </a:solidFill>
              <a:latin typeface="Berlin Sans FB" panose="020E0602020502020306"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B5C60"/>
          </a:solidFill>
          <a:ln>
            <a:noFill/>
          </a:ln>
          <a:effectLst/>
        </c:spPr>
      </c:pivotFmt>
      <c:pivotFmt>
        <c:idx val="4"/>
        <c:spPr>
          <a:solidFill>
            <a:srgbClr val="137C80"/>
          </a:solidFill>
          <a:ln>
            <a:noFill/>
          </a:ln>
          <a:effectLst/>
        </c:spPr>
      </c:pivotFmt>
      <c:pivotFmt>
        <c:idx val="5"/>
        <c:spPr>
          <a:solidFill>
            <a:srgbClr val="1CB2BA"/>
          </a:solidFill>
          <a:ln>
            <a:noFill/>
          </a:ln>
          <a:effectLst/>
        </c:spPr>
      </c:pivotFmt>
      <c:pivotFmt>
        <c:idx val="6"/>
        <c:spPr>
          <a:solidFill>
            <a:srgbClr val="18D4D9"/>
          </a:solidFill>
          <a:ln>
            <a:noFill/>
          </a:ln>
          <a:effectLst/>
        </c:spPr>
      </c:pivotFmt>
      <c:pivotFmt>
        <c:idx val="7"/>
        <c:spPr>
          <a:solidFill>
            <a:srgbClr val="7FE3E6"/>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B5C60"/>
          </a:solidFill>
          <a:ln>
            <a:noFill/>
          </a:ln>
          <a:effectLst/>
        </c:spPr>
      </c:pivotFmt>
      <c:pivotFmt>
        <c:idx val="10"/>
        <c:spPr>
          <a:solidFill>
            <a:srgbClr val="137C80"/>
          </a:solidFill>
          <a:ln>
            <a:noFill/>
          </a:ln>
          <a:effectLst/>
        </c:spPr>
      </c:pivotFmt>
      <c:pivotFmt>
        <c:idx val="11"/>
        <c:spPr>
          <a:solidFill>
            <a:srgbClr val="1CB2BA"/>
          </a:solidFill>
          <a:ln>
            <a:noFill/>
          </a:ln>
          <a:effectLst/>
        </c:spPr>
      </c:pivotFmt>
      <c:pivotFmt>
        <c:idx val="12"/>
        <c:spPr>
          <a:solidFill>
            <a:srgbClr val="18D4D9"/>
          </a:solidFill>
          <a:ln>
            <a:noFill/>
          </a:ln>
          <a:effectLst/>
        </c:spPr>
      </c:pivotFmt>
      <c:pivotFmt>
        <c:idx val="13"/>
        <c:spPr>
          <a:solidFill>
            <a:srgbClr val="7FE3E6"/>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B5C60"/>
          </a:solidFill>
          <a:ln>
            <a:noFill/>
          </a:ln>
          <a:effectLst/>
        </c:spPr>
      </c:pivotFmt>
      <c:pivotFmt>
        <c:idx val="16"/>
        <c:spPr>
          <a:solidFill>
            <a:srgbClr val="1CB2BA"/>
          </a:solidFill>
          <a:ln>
            <a:noFill/>
          </a:ln>
          <a:effectLst/>
        </c:spPr>
      </c:pivotFmt>
      <c:pivotFmt>
        <c:idx val="17"/>
        <c:spPr>
          <a:solidFill>
            <a:srgbClr val="1CB2BA"/>
          </a:solidFill>
          <a:ln>
            <a:noFill/>
          </a:ln>
          <a:effectLst/>
        </c:spPr>
      </c:pivotFmt>
      <c:pivotFmt>
        <c:idx val="18"/>
        <c:spPr>
          <a:solidFill>
            <a:srgbClr val="18D4D9"/>
          </a:solidFill>
          <a:ln>
            <a:noFill/>
          </a:ln>
          <a:effectLst/>
        </c:spPr>
      </c:pivotFmt>
      <c:pivotFmt>
        <c:idx val="19"/>
        <c:spPr>
          <a:solidFill>
            <a:srgbClr val="7FE3E6"/>
          </a:solidFill>
          <a:ln>
            <a:noFill/>
          </a:ln>
          <a:effectLst/>
        </c:spPr>
      </c:pivotFmt>
      <c:pivotFmt>
        <c:idx val="20"/>
        <c:spPr>
          <a:solidFill>
            <a:srgbClr val="137C80"/>
          </a:solidFill>
          <a:ln>
            <a:noFill/>
          </a:ln>
          <a:effectLst/>
        </c:spPr>
      </c:pivotFmt>
      <c:pivotFmt>
        <c:idx val="21"/>
        <c:spPr>
          <a:solidFill>
            <a:srgbClr val="18D4D9"/>
          </a:solidFill>
          <a:ln>
            <a:noFill/>
          </a:ln>
          <a:effectLst/>
        </c:spPr>
      </c:pivotFmt>
      <c:pivotFmt>
        <c:idx val="22"/>
        <c:spPr>
          <a:solidFill>
            <a:srgbClr val="7FE3E6"/>
          </a:solidFill>
          <a:ln>
            <a:noFill/>
          </a:ln>
          <a:effectLst/>
        </c:spPr>
      </c:pivotFmt>
    </c:pivotFmts>
    <c:plotArea>
      <c:layout/>
      <c:barChart>
        <c:barDir val="col"/>
        <c:grouping val="clustered"/>
        <c:varyColors val="0"/>
        <c:ser>
          <c:idx val="0"/>
          <c:order val="0"/>
          <c:tx>
            <c:strRef>
              <c:f>Pivot_Charts!$B$23</c:f>
              <c:strCache>
                <c:ptCount val="1"/>
                <c:pt idx="0">
                  <c:v>Total</c:v>
                </c:pt>
              </c:strCache>
            </c:strRef>
          </c:tx>
          <c:spPr>
            <a:solidFill>
              <a:schemeClr val="accent1"/>
            </a:solidFill>
            <a:ln>
              <a:noFill/>
            </a:ln>
            <a:effectLst/>
          </c:spPr>
          <c:invertIfNegative val="0"/>
          <c:dPt>
            <c:idx val="0"/>
            <c:invertIfNegative val="0"/>
            <c:bubble3D val="0"/>
            <c:spPr>
              <a:solidFill>
                <a:srgbClr val="0B5C60"/>
              </a:solidFill>
              <a:ln>
                <a:noFill/>
              </a:ln>
              <a:effectLst/>
            </c:spPr>
            <c:extLst>
              <c:ext xmlns:c16="http://schemas.microsoft.com/office/drawing/2014/chart" uri="{C3380CC4-5D6E-409C-BE32-E72D297353CC}">
                <c16:uniqueId val="{00000001-57B7-461F-88A5-067652BA1D68}"/>
              </c:ext>
            </c:extLst>
          </c:dPt>
          <c:dPt>
            <c:idx val="1"/>
            <c:invertIfNegative val="0"/>
            <c:bubble3D val="0"/>
            <c:spPr>
              <a:solidFill>
                <a:srgbClr val="1CB2BA"/>
              </a:solidFill>
              <a:ln>
                <a:noFill/>
              </a:ln>
              <a:effectLst/>
            </c:spPr>
            <c:extLst>
              <c:ext xmlns:c16="http://schemas.microsoft.com/office/drawing/2014/chart" uri="{C3380CC4-5D6E-409C-BE32-E72D297353CC}">
                <c16:uniqueId val="{00000003-57B7-461F-88A5-067652BA1D68}"/>
              </c:ext>
            </c:extLst>
          </c:dPt>
          <c:dPt>
            <c:idx val="2"/>
            <c:invertIfNegative val="0"/>
            <c:bubble3D val="0"/>
            <c:spPr>
              <a:solidFill>
                <a:srgbClr val="1CB2BA"/>
              </a:solidFill>
              <a:ln>
                <a:noFill/>
              </a:ln>
              <a:effectLst/>
            </c:spPr>
            <c:extLst>
              <c:ext xmlns:c16="http://schemas.microsoft.com/office/drawing/2014/chart" uri="{C3380CC4-5D6E-409C-BE32-E72D297353CC}">
                <c16:uniqueId val="{00000005-57B7-461F-88A5-067652BA1D68}"/>
              </c:ext>
            </c:extLst>
          </c:dPt>
          <c:dPt>
            <c:idx val="3"/>
            <c:invertIfNegative val="0"/>
            <c:bubble3D val="0"/>
            <c:spPr>
              <a:solidFill>
                <a:srgbClr val="18D4D9"/>
              </a:solidFill>
              <a:ln>
                <a:noFill/>
              </a:ln>
              <a:effectLst/>
            </c:spPr>
            <c:extLst>
              <c:ext xmlns:c16="http://schemas.microsoft.com/office/drawing/2014/chart" uri="{C3380CC4-5D6E-409C-BE32-E72D297353CC}">
                <c16:uniqueId val="{00000007-57B7-461F-88A5-067652BA1D68}"/>
              </c:ext>
            </c:extLst>
          </c:dPt>
          <c:dPt>
            <c:idx val="4"/>
            <c:invertIfNegative val="0"/>
            <c:bubble3D val="0"/>
            <c:spPr>
              <a:solidFill>
                <a:srgbClr val="7FE3E6"/>
              </a:solidFill>
              <a:ln>
                <a:noFill/>
              </a:ln>
              <a:effectLst/>
            </c:spPr>
            <c:extLst>
              <c:ext xmlns:c16="http://schemas.microsoft.com/office/drawing/2014/chart" uri="{C3380CC4-5D6E-409C-BE32-E72D297353CC}">
                <c16:uniqueId val="{00000009-57B7-461F-88A5-067652BA1D68}"/>
              </c:ext>
            </c:extLst>
          </c:dPt>
          <c:dLbls>
            <c:spPr>
              <a:noFill/>
              <a:ln>
                <a:noFill/>
              </a:ln>
              <a:effectLst/>
            </c:spPr>
            <c:txPr>
              <a:bodyPr rot="0" spcFirstLastPara="1" vertOverflow="ellipsis"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Pivot_Charts!$A$24:$A$29</c:f>
              <c:strCache>
                <c:ptCount val="5"/>
                <c:pt idx="0">
                  <c:v>Ashok Nagar</c:v>
                </c:pt>
                <c:pt idx="1">
                  <c:v>Gandhi Nagar</c:v>
                </c:pt>
                <c:pt idx="2">
                  <c:v>Hanuman Nagar</c:v>
                </c:pt>
                <c:pt idx="3">
                  <c:v>Malmaruti</c:v>
                </c:pt>
                <c:pt idx="4">
                  <c:v>Fort Road</c:v>
                </c:pt>
              </c:strCache>
            </c:strRef>
          </c:cat>
          <c:val>
            <c:numRef>
              <c:f>Pivot_Charts!$B$24:$B$29</c:f>
              <c:numCache>
                <c:formatCode>\ #,##0.00,,"M"</c:formatCode>
                <c:ptCount val="5"/>
                <c:pt idx="0">
                  <c:v>3306257.7399999984</c:v>
                </c:pt>
                <c:pt idx="1">
                  <c:v>2824211.6799999997</c:v>
                </c:pt>
                <c:pt idx="2">
                  <c:v>2686294.9199999995</c:v>
                </c:pt>
                <c:pt idx="3">
                  <c:v>1918620.8799999994</c:v>
                </c:pt>
                <c:pt idx="4">
                  <c:v>1615307.6099999999</c:v>
                </c:pt>
              </c:numCache>
            </c:numRef>
          </c:val>
          <c:extLst>
            <c:ext xmlns:c16="http://schemas.microsoft.com/office/drawing/2014/chart" uri="{C3380CC4-5D6E-409C-BE32-E72D297353CC}">
              <c16:uniqueId val="{0000000A-57B7-461F-88A5-067652BA1D68}"/>
            </c:ext>
          </c:extLst>
        </c:ser>
        <c:dLbls>
          <c:dLblPos val="outEnd"/>
          <c:showLegendKey val="0"/>
          <c:showVal val="1"/>
          <c:showCatName val="0"/>
          <c:showSerName val="0"/>
          <c:showPercent val="0"/>
          <c:showBubbleSize val="0"/>
        </c:dLbls>
        <c:gapWidth val="219"/>
        <c:overlap val="-27"/>
        <c:axId val="419932799"/>
        <c:axId val="419931839"/>
      </c:barChart>
      <c:catAx>
        <c:axId val="41993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crossAx val="419931839"/>
        <c:crosses val="autoZero"/>
        <c:auto val="1"/>
        <c:lblAlgn val="ctr"/>
        <c:lblOffset val="100"/>
        <c:noMultiLvlLbl val="0"/>
      </c:catAx>
      <c:valAx>
        <c:axId val="419931839"/>
        <c:scaling>
          <c:orientation val="minMax"/>
        </c:scaling>
        <c:delete val="0"/>
        <c:axPos val="l"/>
        <c:majorGridlines>
          <c:spPr>
            <a:ln w="9525" cap="flat" cmpd="sng" algn="ctr">
              <a:solidFill>
                <a:srgbClr val="0B5C60">
                  <a:alpha val="60000"/>
                </a:srgbClr>
              </a:solidFill>
              <a:round/>
            </a:ln>
            <a:effectLst/>
          </c:spPr>
        </c:majorGridlines>
        <c:numFmt formatCode="\ #,##0.00,,&quot;M&quot;"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crossAx val="419932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[retail_sales_analysis_excel.xlsx.xlsx]Pivot_Charts!PivotTable4</c:name>
    <c:fmtId val="5"/>
  </c:pivotSource>
  <c:chart>
    <c:title>
      <c:tx>
        <c:rich>
          <a:bodyPr rot="0" spcFirstLastPara="1" vertOverflow="ellipsis" vert="horz" wrap="square" anchor="ctr" anchorCtr="1"/>
          <a:lstStyle/>
          <a:p>
            <a:pPr algn="ctr" rtl="0">
              <a:defRPr lang="en-US" sz="1300" b="0" i="0" u="sng" strike="noStrike" kern="1200" spc="0" baseline="0">
                <a:solidFill>
                  <a:schemeClr val="bg1"/>
                </a:solidFill>
                <a:latin typeface="Berlin Sans FB" panose="020E0602020502020306" pitchFamily="34" charset="0"/>
                <a:ea typeface="+mn-ea"/>
                <a:cs typeface="+mn-cs"/>
              </a:defRPr>
            </a:pPr>
            <a:r>
              <a:rPr lang="en-US" sz="1300" b="0" i="0" u="sng" strike="noStrike" kern="1200" spc="0" baseline="0">
                <a:solidFill>
                  <a:schemeClr val="bg1"/>
                </a:solidFill>
                <a:latin typeface="Berlin Sans FB" panose="020E0602020502020306" pitchFamily="34" charset="0"/>
                <a:ea typeface="+mn-ea"/>
                <a:cs typeface="+mn-cs"/>
              </a:rPr>
              <a:t>Salea by Product Category</a:t>
            </a:r>
          </a:p>
        </c:rich>
      </c:tx>
      <c:overlay val="0"/>
      <c:spPr>
        <a:noFill/>
        <a:ln>
          <a:noFill/>
        </a:ln>
        <a:effectLst/>
      </c:spPr>
      <c:txPr>
        <a:bodyPr rot="0" spcFirstLastPara="1" vertOverflow="ellipsis" vert="horz" wrap="square" anchor="ctr" anchorCtr="1"/>
        <a:lstStyle/>
        <a:p>
          <a:pPr algn="ctr" rtl="0">
            <a:defRPr lang="en-US" sz="1300" b="0" i="0" u="sng" strike="noStrike" kern="1200" spc="0" baseline="0">
              <a:solidFill>
                <a:schemeClr val="bg1"/>
              </a:solidFill>
              <a:latin typeface="Berlin Sans FB" panose="020E0602020502020306" pitchFamily="34" charset="0"/>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B5C60"/>
          </a:solidFill>
          <a:ln>
            <a:noFill/>
          </a:ln>
          <a:effectLst/>
        </c:spPr>
      </c:pivotFmt>
      <c:pivotFmt>
        <c:idx val="4"/>
        <c:spPr>
          <a:solidFill>
            <a:srgbClr val="137C80"/>
          </a:solidFill>
          <a:ln>
            <a:noFill/>
          </a:ln>
          <a:effectLst/>
        </c:spPr>
      </c:pivotFmt>
      <c:pivotFmt>
        <c:idx val="5"/>
        <c:spPr>
          <a:solidFill>
            <a:srgbClr val="1CB2BA"/>
          </a:solidFill>
          <a:ln>
            <a:noFill/>
          </a:ln>
          <a:effectLst/>
        </c:spPr>
      </c:pivotFmt>
      <c:pivotFmt>
        <c:idx val="6"/>
        <c:spPr>
          <a:solidFill>
            <a:srgbClr val="18D4D9"/>
          </a:solidFill>
          <a:ln>
            <a:noFill/>
          </a:ln>
          <a:effectLst/>
        </c:spPr>
      </c:pivotFmt>
      <c:pivotFmt>
        <c:idx val="7"/>
        <c:spPr>
          <a:solidFill>
            <a:srgbClr val="7FE3E6"/>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FE3E6"/>
          </a:solidFill>
          <a:ln>
            <a:noFill/>
          </a:ln>
          <a:effectLst/>
        </c:spPr>
      </c:pivotFmt>
      <c:pivotFmt>
        <c:idx val="10"/>
        <c:spPr>
          <a:solidFill>
            <a:srgbClr val="18D4D9"/>
          </a:solidFill>
          <a:ln>
            <a:noFill/>
          </a:ln>
          <a:effectLst/>
        </c:spPr>
      </c:pivotFmt>
      <c:pivotFmt>
        <c:idx val="11"/>
        <c:spPr>
          <a:solidFill>
            <a:srgbClr val="1CB2BA"/>
          </a:solidFill>
          <a:ln>
            <a:noFill/>
          </a:ln>
          <a:effectLst/>
        </c:spPr>
      </c:pivotFmt>
      <c:pivotFmt>
        <c:idx val="12"/>
        <c:spPr>
          <a:solidFill>
            <a:srgbClr val="137C80"/>
          </a:solidFill>
          <a:ln>
            <a:noFill/>
          </a:ln>
          <a:effectLst/>
        </c:spPr>
      </c:pivotFmt>
      <c:pivotFmt>
        <c:idx val="13"/>
        <c:spPr>
          <a:solidFill>
            <a:srgbClr val="0B5C60"/>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FE3E6"/>
          </a:solidFill>
          <a:ln>
            <a:noFill/>
          </a:ln>
          <a:effectLst/>
        </c:spPr>
      </c:pivotFmt>
      <c:pivotFmt>
        <c:idx val="16"/>
        <c:spPr>
          <a:solidFill>
            <a:srgbClr val="18D4D9"/>
          </a:solidFill>
          <a:ln>
            <a:noFill/>
          </a:ln>
          <a:effectLst/>
        </c:spPr>
      </c:pivotFmt>
      <c:pivotFmt>
        <c:idx val="17"/>
        <c:spPr>
          <a:solidFill>
            <a:srgbClr val="137C80"/>
          </a:solidFill>
          <a:ln>
            <a:noFill/>
          </a:ln>
          <a:effectLst/>
        </c:spPr>
      </c:pivotFmt>
      <c:pivotFmt>
        <c:idx val="18"/>
        <c:spPr>
          <a:solidFill>
            <a:srgbClr val="1CB2BA"/>
          </a:solidFill>
          <a:ln>
            <a:noFill/>
          </a:ln>
          <a:effectLst/>
        </c:spPr>
      </c:pivotFmt>
      <c:pivotFmt>
        <c:idx val="19"/>
        <c:spPr>
          <a:solidFill>
            <a:srgbClr val="0B5C60"/>
          </a:solidFill>
          <a:ln>
            <a:noFill/>
          </a:ln>
          <a:effectLst/>
        </c:spPr>
      </c:pivotFmt>
      <c:pivotFmt>
        <c:idx val="20"/>
        <c:spPr>
          <a:solidFill>
            <a:srgbClr val="18D4D9"/>
          </a:solidFill>
          <a:ln>
            <a:noFill/>
          </a:ln>
          <a:effectLst/>
        </c:spPr>
      </c:pivotFmt>
    </c:pivotFmts>
    <c:plotArea>
      <c:layout/>
      <c:barChart>
        <c:barDir val="bar"/>
        <c:grouping val="clustered"/>
        <c:varyColors val="0"/>
        <c:ser>
          <c:idx val="0"/>
          <c:order val="0"/>
          <c:tx>
            <c:strRef>
              <c:f>Pivot_Charts!$B$38</c:f>
              <c:strCache>
                <c:ptCount val="1"/>
                <c:pt idx="0">
                  <c:v>Total</c:v>
                </c:pt>
              </c:strCache>
            </c:strRef>
          </c:tx>
          <c:spPr>
            <a:solidFill>
              <a:schemeClr val="accent1"/>
            </a:solidFill>
            <a:ln>
              <a:noFill/>
            </a:ln>
            <a:effectLst/>
          </c:spPr>
          <c:invertIfNegative val="0"/>
          <c:dPt>
            <c:idx val="0"/>
            <c:invertIfNegative val="0"/>
            <c:bubble3D val="0"/>
            <c:spPr>
              <a:solidFill>
                <a:srgbClr val="7FE3E6"/>
              </a:solidFill>
              <a:ln>
                <a:noFill/>
              </a:ln>
              <a:effectLst/>
            </c:spPr>
            <c:extLst>
              <c:ext xmlns:c16="http://schemas.microsoft.com/office/drawing/2014/chart" uri="{C3380CC4-5D6E-409C-BE32-E72D297353CC}">
                <c16:uniqueId val="{00000001-B68C-402F-A5C6-F46E97315867}"/>
              </c:ext>
            </c:extLst>
          </c:dPt>
          <c:dPt>
            <c:idx val="1"/>
            <c:invertIfNegative val="0"/>
            <c:bubble3D val="0"/>
            <c:spPr>
              <a:solidFill>
                <a:srgbClr val="18D4D9"/>
              </a:solidFill>
              <a:ln>
                <a:noFill/>
              </a:ln>
              <a:effectLst/>
            </c:spPr>
            <c:extLst>
              <c:ext xmlns:c16="http://schemas.microsoft.com/office/drawing/2014/chart" uri="{C3380CC4-5D6E-409C-BE32-E72D297353CC}">
                <c16:uniqueId val="{00000003-B68C-402F-A5C6-F46E97315867}"/>
              </c:ext>
            </c:extLst>
          </c:dPt>
          <c:dPt>
            <c:idx val="2"/>
            <c:invertIfNegative val="0"/>
            <c:bubble3D val="0"/>
            <c:spPr>
              <a:solidFill>
                <a:srgbClr val="137C80"/>
              </a:solidFill>
              <a:ln>
                <a:noFill/>
              </a:ln>
              <a:effectLst/>
            </c:spPr>
            <c:extLst>
              <c:ext xmlns:c16="http://schemas.microsoft.com/office/drawing/2014/chart" uri="{C3380CC4-5D6E-409C-BE32-E72D297353CC}">
                <c16:uniqueId val="{00000005-B68C-402F-A5C6-F46E97315867}"/>
              </c:ext>
            </c:extLst>
          </c:dPt>
          <c:dPt>
            <c:idx val="3"/>
            <c:invertIfNegative val="0"/>
            <c:bubble3D val="0"/>
            <c:spPr>
              <a:solidFill>
                <a:srgbClr val="1CB2BA"/>
              </a:solidFill>
              <a:ln>
                <a:noFill/>
              </a:ln>
              <a:effectLst/>
            </c:spPr>
            <c:extLst>
              <c:ext xmlns:c16="http://schemas.microsoft.com/office/drawing/2014/chart" uri="{C3380CC4-5D6E-409C-BE32-E72D297353CC}">
                <c16:uniqueId val="{00000007-B68C-402F-A5C6-F46E97315867}"/>
              </c:ext>
            </c:extLst>
          </c:dPt>
          <c:dPt>
            <c:idx val="4"/>
            <c:invertIfNegative val="0"/>
            <c:bubble3D val="0"/>
            <c:spPr>
              <a:solidFill>
                <a:srgbClr val="0B5C60"/>
              </a:solidFill>
              <a:ln>
                <a:noFill/>
              </a:ln>
              <a:effectLst/>
            </c:spPr>
            <c:extLst>
              <c:ext xmlns:c16="http://schemas.microsoft.com/office/drawing/2014/chart" uri="{C3380CC4-5D6E-409C-BE32-E72D297353CC}">
                <c16:uniqueId val="{00000009-B68C-402F-A5C6-F46E97315867}"/>
              </c:ext>
            </c:extLst>
          </c:dPt>
          <c:dLbls>
            <c:spPr>
              <a:noFill/>
              <a:ln>
                <a:noFill/>
              </a:ln>
              <a:effectLst/>
            </c:spPr>
            <c:txPr>
              <a:bodyPr rot="0" spcFirstLastPara="1" vertOverflow="ellipsis" vert="horz" wrap="square" anchor="ctr" anchorCtr="0"/>
              <a:lstStyle/>
              <a:p>
                <a:pPr algn="ctr">
                  <a:defRPr lang="en-US"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Pivot_Charts!$A$39:$A$44</c:f>
              <c:strCache>
                <c:ptCount val="5"/>
                <c:pt idx="0">
                  <c:v>Pharmacy</c:v>
                </c:pt>
                <c:pt idx="1">
                  <c:v>Grocery</c:v>
                </c:pt>
                <c:pt idx="2">
                  <c:v>Electronics</c:v>
                </c:pt>
                <c:pt idx="3">
                  <c:v>Apparel</c:v>
                </c:pt>
                <c:pt idx="4">
                  <c:v>Home Appliances</c:v>
                </c:pt>
              </c:strCache>
            </c:strRef>
          </c:cat>
          <c:val>
            <c:numRef>
              <c:f>Pivot_Charts!$B$39:$B$44</c:f>
              <c:numCache>
                <c:formatCode>\ #,##0.00,,"M"</c:formatCode>
                <c:ptCount val="5"/>
                <c:pt idx="0">
                  <c:v>1709830.83</c:v>
                </c:pt>
                <c:pt idx="1">
                  <c:v>2256759.69</c:v>
                </c:pt>
                <c:pt idx="2">
                  <c:v>3324431.2399999998</c:v>
                </c:pt>
                <c:pt idx="3">
                  <c:v>4676084.3699999992</c:v>
                </c:pt>
                <c:pt idx="4">
                  <c:v>6943352.6499999994</c:v>
                </c:pt>
              </c:numCache>
            </c:numRef>
          </c:val>
          <c:extLst>
            <c:ext xmlns:c16="http://schemas.microsoft.com/office/drawing/2014/chart" uri="{C3380CC4-5D6E-409C-BE32-E72D297353CC}">
              <c16:uniqueId val="{0000000A-B68C-402F-A5C6-F46E97315867}"/>
            </c:ext>
          </c:extLst>
        </c:ser>
        <c:dLbls>
          <c:dLblPos val="outEnd"/>
          <c:showLegendKey val="0"/>
          <c:showVal val="1"/>
          <c:showCatName val="0"/>
          <c:showSerName val="0"/>
          <c:showPercent val="0"/>
          <c:showBubbleSize val="0"/>
        </c:dLbls>
        <c:gapWidth val="182"/>
        <c:axId val="633559615"/>
        <c:axId val="633561055"/>
      </c:barChart>
      <c:catAx>
        <c:axId val="633559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crossAx val="633561055"/>
        <c:crosses val="autoZero"/>
        <c:auto val="1"/>
        <c:lblAlgn val="ctr"/>
        <c:lblOffset val="100"/>
        <c:noMultiLvlLbl val="0"/>
      </c:catAx>
      <c:valAx>
        <c:axId val="633561055"/>
        <c:scaling>
          <c:orientation val="minMax"/>
        </c:scaling>
        <c:delete val="0"/>
        <c:axPos val="b"/>
        <c:majorGridlines>
          <c:spPr>
            <a:ln w="9525" cap="flat" cmpd="sng" algn="ctr">
              <a:solidFill>
                <a:srgbClr val="0B5C60">
                  <a:alpha val="45000"/>
                </a:srgbClr>
              </a:solidFill>
              <a:round/>
            </a:ln>
            <a:effectLst/>
          </c:spPr>
        </c:majorGridlines>
        <c:numFmt formatCode="\ #,##0.00,,&quot;M&quot;"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crossAx val="63355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no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[retail_sales_analysis_excel.xlsx.xlsx]Pivot_Charts!PivotTable5</c:name>
    <c:fmtId val="6"/>
  </c:pivotSource>
  <c:chart>
    <c:title>
      <c:tx>
        <c:rich>
          <a:bodyPr rot="0" spcFirstLastPara="1" vertOverflow="ellipsis" vert="horz" wrap="square" anchor="ctr" anchorCtr="1"/>
          <a:lstStyle/>
          <a:p>
            <a:pPr algn="ctr" rtl="0">
              <a:defRPr lang="en-US" sz="1300" b="0" i="0" u="sng" strike="noStrike" kern="1200" spc="0" baseline="0">
                <a:solidFill>
                  <a:schemeClr val="bg1"/>
                </a:solidFill>
                <a:latin typeface="Berlin Sans FB" panose="020E0602020502020306" pitchFamily="34" charset="0"/>
                <a:ea typeface="+mn-ea"/>
                <a:cs typeface="+mn-cs"/>
              </a:defRPr>
            </a:pPr>
            <a:r>
              <a:rPr lang="en-US" sz="1300" b="0" i="0" u="sng" strike="noStrike" kern="1200" spc="0" baseline="0">
                <a:solidFill>
                  <a:schemeClr val="bg1"/>
                </a:solidFill>
                <a:latin typeface="Berlin Sans FB" panose="020E0602020502020306" pitchFamily="34" charset="0"/>
                <a:ea typeface="+mn-ea"/>
                <a:cs typeface="+mn-cs"/>
              </a:rPr>
              <a:t>Sales by Customer Segment</a:t>
            </a:r>
          </a:p>
        </c:rich>
      </c:tx>
      <c:overlay val="0"/>
      <c:spPr>
        <a:noFill/>
        <a:ln>
          <a:noFill/>
        </a:ln>
        <a:effectLst/>
      </c:spPr>
      <c:txPr>
        <a:bodyPr rot="0" spcFirstLastPara="1" vertOverflow="ellipsis" vert="horz" wrap="square" anchor="ctr" anchorCtr="1"/>
        <a:lstStyle/>
        <a:p>
          <a:pPr algn="ctr" rtl="0">
            <a:defRPr lang="en-US" sz="1300" b="0" i="0" u="sng" strike="noStrike" kern="1200" spc="0" baseline="0">
              <a:solidFill>
                <a:schemeClr val="bg1"/>
              </a:solidFill>
              <a:latin typeface="Berlin Sans FB" panose="020E0602020502020306"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11326860841424"/>
              <c:y val="-0.1092896174863388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6990291262135923"/>
              <c:y val="-8.87978142076502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3349514563106796"/>
              <c:y val="3.415300546448087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2135922330097092"/>
              <c:y val="8.87978142076502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0922330097087378"/>
              <c:y val="0.2185792349726775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dLbl>
          <c:idx val="0"/>
          <c:layout>
            <c:manualLayout>
              <c:x val="-8.4951456310679643E-2"/>
              <c:y val="-0.1434426229508196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dLbl>
          <c:idx val="0"/>
          <c:layout>
            <c:manualLayout>
              <c:x val="0.1011326860841424"/>
              <c:y val="-8.87978142076502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dLbl>
          <c:idx val="0"/>
          <c:layout>
            <c:manualLayout>
              <c:x val="-0.11326860841423948"/>
              <c:y val="-0.1639344262295081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dLbl>
          <c:idx val="0"/>
          <c:layout>
            <c:manualLayout>
              <c:x val="6.0679611650485361E-2"/>
              <c:y val="0.109289617486338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dLbl>
          <c:idx val="0"/>
          <c:layout>
            <c:manualLayout>
              <c:x val="0.1294498381877022"/>
              <c:y val="-5.46448087431695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solidFill>
          <a:ln w="19050">
            <a:solidFill>
              <a:schemeClr val="lt1"/>
            </a:solidFill>
          </a:ln>
          <a:effectLst/>
        </c:spPr>
        <c:dLbl>
          <c:idx val="0"/>
          <c:layout>
            <c:manualLayout>
              <c:x val="7.6860841423948223E-2"/>
              <c:y val="6.8306010928961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0922330097087371"/>
              <c:y val="-7.51366120218579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3"/>
          </a:solidFill>
          <a:ln w="19050">
            <a:solidFill>
              <a:schemeClr val="lt1"/>
            </a:solidFill>
          </a:ln>
          <a:effectLst/>
        </c:spPr>
        <c:dLbl>
          <c:idx val="0"/>
          <c:layout>
            <c:manualLayout>
              <c:x val="-0.10517799352750809"/>
              <c:y val="-8.87978142076502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0922330097087371"/>
              <c:y val="-7.51366120218579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7.6860841423948223E-2"/>
              <c:y val="6.8306010928961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0517799352750809"/>
              <c:y val="-8.87978142076502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7FE3E6"/>
          </a:solidFill>
          <a:ln w="19050">
            <a:solidFill>
              <a:schemeClr val="lt1"/>
            </a:solidFill>
          </a:ln>
          <a:effectLst/>
        </c:spPr>
        <c:dLbl>
          <c:idx val="0"/>
          <c:layout>
            <c:manualLayout>
              <c:x val="0.10922330097087371"/>
              <c:y val="-7.513661202185792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1CB2BA"/>
          </a:solidFill>
          <a:ln w="19050">
            <a:solidFill>
              <a:schemeClr val="lt1"/>
            </a:solidFill>
          </a:ln>
          <a:effectLst/>
        </c:spPr>
        <c:dLbl>
          <c:idx val="0"/>
          <c:layout>
            <c:manualLayout>
              <c:x val="7.6860841423948223E-2"/>
              <c:y val="6.830601092896163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0B5C60"/>
          </a:solidFill>
          <a:ln w="19050">
            <a:solidFill>
              <a:schemeClr val="lt1"/>
            </a:solidFill>
          </a:ln>
          <a:effectLst/>
        </c:spPr>
        <c:dLbl>
          <c:idx val="0"/>
          <c:layout>
            <c:manualLayout>
              <c:x val="-0.10517799352750809"/>
              <c:y val="-8.8797814207650275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rgbClr val="7FE3E6"/>
          </a:solidFill>
          <a:ln w="19050">
            <a:solidFill>
              <a:schemeClr val="lt1"/>
            </a:solidFill>
          </a:ln>
          <a:effectLst/>
        </c:spPr>
        <c:dLbl>
          <c:idx val="0"/>
          <c:layout>
            <c:manualLayout>
              <c:x val="0.10922330097087371"/>
              <c:y val="-7.513661202185792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rgbClr val="1CB2BA"/>
          </a:solidFill>
          <a:ln w="19050">
            <a:solidFill>
              <a:schemeClr val="lt1"/>
            </a:solidFill>
          </a:ln>
          <a:effectLst/>
        </c:spPr>
        <c:dLbl>
          <c:idx val="0"/>
          <c:layout>
            <c:manualLayout>
              <c:x val="7.6860841423948223E-2"/>
              <c:y val="6.830601092896163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rgbClr val="0B5C60"/>
          </a:solidFill>
          <a:ln w="19050">
            <a:solidFill>
              <a:schemeClr val="lt1"/>
            </a:solidFill>
          </a:ln>
          <a:effectLst/>
        </c:spPr>
        <c:dLbl>
          <c:idx val="0"/>
          <c:layout>
            <c:manualLayout>
              <c:x val="-0.10517799352750809"/>
              <c:y val="-8.8797814207650275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rgbClr val="7FE3E6"/>
          </a:solidFill>
          <a:ln w="19050">
            <a:solidFill>
              <a:schemeClr val="lt1"/>
            </a:solidFill>
          </a:ln>
          <a:effectLst/>
        </c:spPr>
        <c:dLbl>
          <c:idx val="0"/>
          <c:layout>
            <c:manualLayout>
              <c:x val="0.10922330097087371"/>
              <c:y val="-7.513661202185792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rgbClr val="7FE3E6"/>
          </a:solidFill>
          <a:ln w="19050">
            <a:solidFill>
              <a:schemeClr val="lt1"/>
            </a:solidFill>
          </a:ln>
          <a:effectLst/>
        </c:spPr>
        <c:dLbl>
          <c:idx val="0"/>
          <c:layout>
            <c:manualLayout>
              <c:x val="0.10922330097087371"/>
              <c:y val="-7.513661202185792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rgbClr val="0B5C60"/>
          </a:solidFill>
          <a:ln w="19050">
            <a:solidFill>
              <a:schemeClr val="lt1"/>
            </a:solidFill>
          </a:ln>
          <a:effectLst/>
        </c:spPr>
        <c:dLbl>
          <c:idx val="0"/>
          <c:layout>
            <c:manualLayout>
              <c:x val="-0.10517799352750809"/>
              <c:y val="-8.8797814207650275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Pivot_Charts!$B$53</c:f>
              <c:strCache>
                <c:ptCount val="1"/>
                <c:pt idx="0">
                  <c:v>Total</c:v>
                </c:pt>
              </c:strCache>
            </c:strRef>
          </c:tx>
          <c:dPt>
            <c:idx val="0"/>
            <c:bubble3D val="0"/>
            <c:spPr>
              <a:solidFill>
                <a:srgbClr val="7FE3E6"/>
              </a:solidFill>
              <a:ln w="19050">
                <a:solidFill>
                  <a:schemeClr val="lt1"/>
                </a:solidFill>
              </a:ln>
              <a:effectLst/>
            </c:spPr>
            <c:extLst>
              <c:ext xmlns:c16="http://schemas.microsoft.com/office/drawing/2014/chart" uri="{C3380CC4-5D6E-409C-BE32-E72D297353CC}">
                <c16:uniqueId val="{00000001-0FFF-4281-A67A-4E3C4BDEEC08}"/>
              </c:ext>
            </c:extLst>
          </c:dPt>
          <c:dPt>
            <c:idx val="1"/>
            <c:bubble3D val="0"/>
            <c:spPr>
              <a:solidFill>
                <a:srgbClr val="7FE3E6"/>
              </a:solidFill>
              <a:ln w="19050">
                <a:solidFill>
                  <a:schemeClr val="lt1"/>
                </a:solidFill>
              </a:ln>
              <a:effectLst/>
            </c:spPr>
            <c:extLst>
              <c:ext xmlns:c16="http://schemas.microsoft.com/office/drawing/2014/chart" uri="{C3380CC4-5D6E-409C-BE32-E72D297353CC}">
                <c16:uniqueId val="{00000003-0FFF-4281-A67A-4E3C4BDEEC08}"/>
              </c:ext>
            </c:extLst>
          </c:dPt>
          <c:dPt>
            <c:idx val="2"/>
            <c:bubble3D val="0"/>
            <c:spPr>
              <a:solidFill>
                <a:srgbClr val="0B5C60"/>
              </a:solidFill>
              <a:ln w="19050">
                <a:solidFill>
                  <a:schemeClr val="lt1"/>
                </a:solidFill>
              </a:ln>
              <a:effectLst/>
            </c:spPr>
            <c:extLst>
              <c:ext xmlns:c16="http://schemas.microsoft.com/office/drawing/2014/chart" uri="{C3380CC4-5D6E-409C-BE32-E72D297353CC}">
                <c16:uniqueId val="{00000005-0FFF-4281-A67A-4E3C4BDEEC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FFF-4281-A67A-4E3C4BDEEC0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FFF-4281-A67A-4E3C4BDEEC08}"/>
              </c:ext>
            </c:extLst>
          </c:dPt>
          <c:dLbls>
            <c:dLbl>
              <c:idx val="0"/>
              <c:layout>
                <c:manualLayout>
                  <c:x val="0.10922330097087371"/>
                  <c:y val="-7.513661202185792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0FFF-4281-A67A-4E3C4BDEEC08}"/>
                </c:ext>
              </c:extLst>
            </c:dLbl>
            <c:dLbl>
              <c:idx val="1"/>
              <c:layout>
                <c:manualLayout>
                  <c:x val="0.10922330097087371"/>
                  <c:y val="-7.5136612021857924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0FFF-4281-A67A-4E3C4BDEEC08}"/>
                </c:ext>
              </c:extLst>
            </c:dLbl>
            <c:dLbl>
              <c:idx val="2"/>
              <c:layout>
                <c:manualLayout>
                  <c:x val="-0.10517799352750809"/>
                  <c:y val="-8.8797814207650275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0FFF-4281-A67A-4E3C4BDEEC08}"/>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Pivot_Charts!$A$54:$A$57</c:f>
              <c:strCache>
                <c:ptCount val="3"/>
                <c:pt idx="0">
                  <c:v>Corporate</c:v>
                </c:pt>
                <c:pt idx="1">
                  <c:v>Retail</c:v>
                </c:pt>
                <c:pt idx="2">
                  <c:v>Wholesale</c:v>
                </c:pt>
              </c:strCache>
            </c:strRef>
          </c:cat>
          <c:val>
            <c:numRef>
              <c:f>Pivot_Charts!$B$54:$B$57</c:f>
              <c:numCache>
                <c:formatCode>0.00%</c:formatCode>
                <c:ptCount val="3"/>
                <c:pt idx="0">
                  <c:v>0.15261935045149502</c:v>
                </c:pt>
                <c:pt idx="1">
                  <c:v>0.28836184714803714</c:v>
                </c:pt>
                <c:pt idx="2">
                  <c:v>0.55901880240046786</c:v>
                </c:pt>
              </c:numCache>
            </c:numRef>
          </c:val>
          <c:extLst>
            <c:ext xmlns:c16="http://schemas.microsoft.com/office/drawing/2014/chart" uri="{C3380CC4-5D6E-409C-BE32-E72D297353CC}">
              <c16:uniqueId val="{0000000A-0FFF-4281-A67A-4E3C4BDEEC0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[retail_sales_analysis_excel.xlsx.xlsx]Pivot_Charts!PivotTable1</c:name>
    <c:fmtId val="5"/>
  </c:pivotSource>
  <c:chart>
    <c:title>
      <c:tx>
        <c:rich>
          <a:bodyPr rot="0" spcFirstLastPara="1" vertOverflow="ellipsis" vert="horz" wrap="square" anchor="ctr" anchorCtr="1"/>
          <a:lstStyle/>
          <a:p>
            <a:pPr algn="ctr" rtl="0">
              <a:defRPr lang="en-US" sz="1300" b="0" i="0" u="sng" strike="noStrike" kern="1200" spc="0" baseline="0">
                <a:solidFill>
                  <a:schemeClr val="bg1"/>
                </a:solidFill>
                <a:latin typeface="Berlin Sans FB" panose="020E0602020502020306" pitchFamily="34" charset="0"/>
                <a:ea typeface="+mn-ea"/>
                <a:cs typeface="+mn-cs"/>
              </a:defRPr>
            </a:pPr>
            <a:r>
              <a:rPr lang="en-US" sz="1300" b="0" i="0" u="sng" strike="noStrike" kern="1200" spc="0" baseline="0">
                <a:solidFill>
                  <a:schemeClr val="bg1"/>
                </a:solidFill>
                <a:latin typeface="Berlin Sans FB" panose="020E0602020502020306" pitchFamily="34" charset="0"/>
                <a:ea typeface="+mn-ea"/>
                <a:cs typeface="+mn-cs"/>
              </a:rPr>
              <a:t>Sales by Channel</a:t>
            </a:r>
          </a:p>
        </c:rich>
      </c:tx>
      <c:overlay val="0"/>
      <c:spPr>
        <a:noFill/>
        <a:ln>
          <a:noFill/>
        </a:ln>
        <a:effectLst/>
      </c:spPr>
      <c:txPr>
        <a:bodyPr rot="0" spcFirstLastPara="1" vertOverflow="ellipsis" vert="horz" wrap="square" anchor="ctr" anchorCtr="1"/>
        <a:lstStyle/>
        <a:p>
          <a:pPr algn="ctr" rtl="0">
            <a:defRPr lang="en-US" sz="1300" b="0" i="0" u="sng" strike="noStrike" kern="1200" spc="0" baseline="0">
              <a:solidFill>
                <a:schemeClr val="bg1"/>
              </a:solidFill>
              <a:latin typeface="Berlin Sans FB" panose="020E0602020502020306"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513513513513506"/>
              <c:y val="-0.12536873156342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9.9099099099099114E-2"/>
              <c:y val="-0.1769911504424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12162162162162163"/>
              <c:y val="3.6873156342182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3513513513513506"/>
              <c:y val="-0.12536873156342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2162162162162163"/>
              <c:y val="3.6873156342182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9.9099099099099114E-2"/>
              <c:y val="-0.1769911504424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B5C60"/>
          </a:solidFill>
          <a:ln w="19050">
            <a:solidFill>
              <a:schemeClr val="lt1"/>
            </a:solidFill>
          </a:ln>
          <a:effectLst/>
        </c:spPr>
        <c:dLbl>
          <c:idx val="0"/>
          <c:layout>
            <c:manualLayout>
              <c:x val="0.13513513513513506"/>
              <c:y val="-0.1253687315634219"/>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1CB2BA"/>
          </a:solidFill>
          <a:ln w="19050">
            <a:solidFill>
              <a:schemeClr val="lt1"/>
            </a:solidFill>
          </a:ln>
          <a:effectLst/>
        </c:spPr>
        <c:dLbl>
          <c:idx val="0"/>
          <c:layout>
            <c:manualLayout>
              <c:x val="-0.12162162162162163"/>
              <c:y val="3.687315634218289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7FE3E6"/>
          </a:solidFill>
          <a:ln w="19050">
            <a:solidFill>
              <a:schemeClr val="lt1"/>
            </a:solidFill>
          </a:ln>
          <a:effectLst/>
        </c:spPr>
        <c:dLbl>
          <c:idx val="0"/>
          <c:layout>
            <c:manualLayout>
              <c:x val="-9.9099099099099114E-2"/>
              <c:y val="-0.1769911504424779"/>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0B5C60"/>
          </a:solidFill>
          <a:ln w="19050">
            <a:solidFill>
              <a:schemeClr val="lt1"/>
            </a:solidFill>
          </a:ln>
          <a:effectLst/>
        </c:spPr>
        <c:dLbl>
          <c:idx val="0"/>
          <c:layout>
            <c:manualLayout>
              <c:x val="0.13513513513513506"/>
              <c:y val="-0.1253687315634219"/>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1CB2BA"/>
          </a:solidFill>
          <a:ln w="19050">
            <a:solidFill>
              <a:schemeClr val="lt1"/>
            </a:solidFill>
          </a:ln>
          <a:effectLst/>
        </c:spPr>
        <c:dLbl>
          <c:idx val="0"/>
          <c:layout>
            <c:manualLayout>
              <c:x val="-0.12162162162162163"/>
              <c:y val="3.687315634218289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7FE3E6"/>
          </a:solidFill>
          <a:ln w="19050">
            <a:solidFill>
              <a:schemeClr val="lt1"/>
            </a:solidFill>
          </a:ln>
          <a:effectLst/>
        </c:spPr>
        <c:dLbl>
          <c:idx val="0"/>
          <c:layout>
            <c:manualLayout>
              <c:x val="-9.9099099099099114E-2"/>
              <c:y val="-0.1769911504424779"/>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0B5C60"/>
          </a:solidFill>
          <a:ln w="19050">
            <a:solidFill>
              <a:schemeClr val="lt1"/>
            </a:solidFill>
          </a:ln>
          <a:effectLst/>
        </c:spPr>
        <c:dLbl>
          <c:idx val="0"/>
          <c:layout>
            <c:manualLayout>
              <c:x val="0.13513513513513506"/>
              <c:y val="-0.1253687315634219"/>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1CB2BA"/>
          </a:solidFill>
          <a:ln w="19050">
            <a:solidFill>
              <a:schemeClr val="lt1"/>
            </a:solidFill>
          </a:ln>
          <a:effectLst/>
        </c:spPr>
        <c:dLbl>
          <c:idx val="0"/>
          <c:layout>
            <c:manualLayout>
              <c:x val="-0.12162162162162163"/>
              <c:y val="3.687315634218289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7FE3E6"/>
          </a:solidFill>
          <a:ln w="19050">
            <a:solidFill>
              <a:schemeClr val="lt1"/>
            </a:solidFill>
          </a:ln>
          <a:effectLst/>
        </c:spPr>
        <c:dLbl>
          <c:idx val="0"/>
          <c:layout>
            <c:manualLayout>
              <c:x val="-9.9099099099099114E-2"/>
              <c:y val="-0.1769911504424779"/>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Pivot_Charts!$B$67</c:f>
              <c:strCache>
                <c:ptCount val="1"/>
                <c:pt idx="0">
                  <c:v>Total</c:v>
                </c:pt>
              </c:strCache>
            </c:strRef>
          </c:tx>
          <c:dPt>
            <c:idx val="0"/>
            <c:bubble3D val="0"/>
            <c:spPr>
              <a:solidFill>
                <a:srgbClr val="0B5C60"/>
              </a:solidFill>
              <a:ln w="19050">
                <a:solidFill>
                  <a:schemeClr val="lt1"/>
                </a:solidFill>
              </a:ln>
              <a:effectLst/>
            </c:spPr>
            <c:extLst>
              <c:ext xmlns:c16="http://schemas.microsoft.com/office/drawing/2014/chart" uri="{C3380CC4-5D6E-409C-BE32-E72D297353CC}">
                <c16:uniqueId val="{00000001-78CE-4049-ACBD-7E1B6FC37FBB}"/>
              </c:ext>
            </c:extLst>
          </c:dPt>
          <c:dPt>
            <c:idx val="1"/>
            <c:bubble3D val="0"/>
            <c:spPr>
              <a:solidFill>
                <a:srgbClr val="1CB2BA"/>
              </a:solidFill>
              <a:ln w="19050">
                <a:solidFill>
                  <a:schemeClr val="lt1"/>
                </a:solidFill>
              </a:ln>
              <a:effectLst/>
            </c:spPr>
            <c:extLst>
              <c:ext xmlns:c16="http://schemas.microsoft.com/office/drawing/2014/chart" uri="{C3380CC4-5D6E-409C-BE32-E72D297353CC}">
                <c16:uniqueId val="{00000003-78CE-4049-ACBD-7E1B6FC37FBB}"/>
              </c:ext>
            </c:extLst>
          </c:dPt>
          <c:dPt>
            <c:idx val="2"/>
            <c:bubble3D val="0"/>
            <c:spPr>
              <a:solidFill>
                <a:srgbClr val="7FE3E6"/>
              </a:solidFill>
              <a:ln w="19050">
                <a:solidFill>
                  <a:schemeClr val="lt1"/>
                </a:solidFill>
              </a:ln>
              <a:effectLst/>
            </c:spPr>
            <c:extLst>
              <c:ext xmlns:c16="http://schemas.microsoft.com/office/drawing/2014/chart" uri="{C3380CC4-5D6E-409C-BE32-E72D297353CC}">
                <c16:uniqueId val="{00000005-78CE-4049-ACBD-7E1B6FC37FBB}"/>
              </c:ext>
            </c:extLst>
          </c:dPt>
          <c:dLbls>
            <c:dLbl>
              <c:idx val="0"/>
              <c:layout>
                <c:manualLayout>
                  <c:x val="0.13513513513513506"/>
                  <c:y val="-0.1253687315634219"/>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78CE-4049-ACBD-7E1B6FC37FBB}"/>
                </c:ext>
              </c:extLst>
            </c:dLbl>
            <c:dLbl>
              <c:idx val="1"/>
              <c:layout>
                <c:manualLayout>
                  <c:x val="-0.12162162162162163"/>
                  <c:y val="3.687315634218289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78CE-4049-ACBD-7E1B6FC37FBB}"/>
                </c:ext>
              </c:extLst>
            </c:dLbl>
            <c:dLbl>
              <c:idx val="2"/>
              <c:layout>
                <c:manualLayout>
                  <c:x val="-9.9099099099099114E-2"/>
                  <c:y val="-0.1769911504424779"/>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78CE-4049-ACBD-7E1B6FC37FBB}"/>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Pivot_Charts!$A$68:$A$71</c:f>
              <c:strCache>
                <c:ptCount val="3"/>
                <c:pt idx="0">
                  <c:v>In-Store</c:v>
                </c:pt>
                <c:pt idx="1">
                  <c:v>Online</c:v>
                </c:pt>
                <c:pt idx="2">
                  <c:v>Phone</c:v>
                </c:pt>
              </c:strCache>
            </c:strRef>
          </c:cat>
          <c:val>
            <c:numRef>
              <c:f>Pivot_Charts!$B$68:$B$71</c:f>
              <c:numCache>
                <c:formatCode>0.00%</c:formatCode>
                <c:ptCount val="3"/>
                <c:pt idx="0">
                  <c:v>0.50051461452321788</c:v>
                </c:pt>
                <c:pt idx="1">
                  <c:v>0.36579862066285324</c:v>
                </c:pt>
                <c:pt idx="2">
                  <c:v>0.13368676481392894</c:v>
                </c:pt>
              </c:numCache>
            </c:numRef>
          </c:val>
          <c:extLst>
            <c:ext xmlns:c16="http://schemas.microsoft.com/office/drawing/2014/chart" uri="{C3380CC4-5D6E-409C-BE32-E72D297353CC}">
              <c16:uniqueId val="{00000006-78CE-4049-ACBD-7E1B6FC37FB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[retail_sales_analysis_excel.xlsx.xlsx]Pivot_Charts!PivotTable6</c:name>
    <c:fmtId val="5"/>
  </c:pivotSource>
  <c:chart>
    <c:title>
      <c:tx>
        <c:rich>
          <a:bodyPr rot="0" spcFirstLastPara="1" vertOverflow="ellipsis" vert="horz" wrap="square" anchor="ctr" anchorCtr="1"/>
          <a:lstStyle/>
          <a:p>
            <a:pPr algn="ctr" rtl="0">
              <a:defRPr lang="en-US" sz="1300" b="0" i="0" u="sng" strike="noStrike" kern="1200" spc="0" baseline="0">
                <a:solidFill>
                  <a:schemeClr val="bg1"/>
                </a:solidFill>
                <a:latin typeface="Berlin Sans FB" panose="020E0602020502020306" pitchFamily="34" charset="0"/>
                <a:ea typeface="+mn-ea"/>
                <a:cs typeface="+mn-cs"/>
              </a:defRPr>
            </a:pPr>
            <a:r>
              <a:rPr lang="en-US" sz="1300" b="0" i="0" u="sng" strike="noStrike" kern="1200" spc="0" baseline="0">
                <a:solidFill>
                  <a:schemeClr val="bg1"/>
                </a:solidFill>
                <a:latin typeface="Berlin Sans FB" panose="020E0602020502020306" pitchFamily="34" charset="0"/>
                <a:ea typeface="+mn-ea"/>
                <a:cs typeface="+mn-cs"/>
              </a:rPr>
              <a:t>Quantity by Order Status </a:t>
            </a:r>
          </a:p>
        </c:rich>
      </c:tx>
      <c:layout>
        <c:manualLayout>
          <c:xMode val="edge"/>
          <c:yMode val="edge"/>
          <c:x val="0.46595308398950142"/>
          <c:y val="4.0160642570281124E-2"/>
        </c:manualLayout>
      </c:layout>
      <c:overlay val="0"/>
      <c:spPr>
        <a:noFill/>
        <a:ln>
          <a:noFill/>
        </a:ln>
        <a:effectLst/>
      </c:spPr>
      <c:txPr>
        <a:bodyPr rot="0" spcFirstLastPara="1" vertOverflow="ellipsis" vert="horz" wrap="square" anchor="ctr" anchorCtr="1"/>
        <a:lstStyle/>
        <a:p>
          <a:pPr algn="ctr" rtl="0">
            <a:defRPr lang="en-US" sz="1300" b="0" i="0" u="sng" strike="noStrike" kern="1200" spc="0" baseline="0">
              <a:solidFill>
                <a:schemeClr val="bg1"/>
              </a:solidFill>
              <a:latin typeface="Berlin Sans FB" panose="020E0602020502020306"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18D4D9"/>
          </a:solidFill>
          <a:ln w="19050">
            <a:solidFill>
              <a:schemeClr val="lt1"/>
            </a:solidFill>
          </a:ln>
          <a:effectLst/>
        </c:spPr>
        <c:dLbl>
          <c:idx val="0"/>
          <c:layout>
            <c:manualLayout>
              <c:x val="0.20380434782608703"/>
              <c:y val="-6.6934404283801874E-2"/>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0B5C60"/>
          </a:solidFill>
          <a:ln w="19050">
            <a:solidFill>
              <a:schemeClr val="lt1"/>
            </a:solidFill>
          </a:ln>
          <a:effectLst/>
        </c:spPr>
        <c:dLbl>
          <c:idx val="0"/>
          <c:layout>
            <c:manualLayout>
              <c:x val="0.23097826086956513"/>
              <c:y val="8.0321285140562124E-2"/>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1CB2BA"/>
          </a:solidFill>
          <a:ln w="19050">
            <a:solidFill>
              <a:schemeClr val="lt1"/>
            </a:solidFill>
          </a:ln>
          <a:effectLst/>
        </c:spPr>
        <c:dLbl>
          <c:idx val="0"/>
          <c:layout>
            <c:manualLayout>
              <c:x val="-0.14039855072463769"/>
              <c:y val="-3.3467202141900937E-2"/>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7FE3E6"/>
          </a:solidFill>
          <a:ln w="19050">
            <a:solidFill>
              <a:schemeClr val="lt1"/>
            </a:solidFill>
          </a:ln>
          <a:effectLst/>
        </c:spPr>
        <c:dLbl>
          <c:idx val="0"/>
          <c:layout>
            <c:manualLayout>
              <c:x val="-1.8115942028985508E-2"/>
              <c:y val="-0.16733601070950468"/>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18D4D9"/>
          </a:solidFill>
          <a:ln w="19050">
            <a:solidFill>
              <a:schemeClr val="lt1"/>
            </a:solidFill>
          </a:ln>
          <a:effectLst/>
        </c:spPr>
        <c:dLbl>
          <c:idx val="0"/>
          <c:layout>
            <c:manualLayout>
              <c:x val="0.20380434782608703"/>
              <c:y val="-6.6934404283801874E-2"/>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0B5C60"/>
          </a:solidFill>
          <a:ln w="19050">
            <a:solidFill>
              <a:schemeClr val="lt1"/>
            </a:solidFill>
          </a:ln>
          <a:effectLst/>
        </c:spPr>
        <c:dLbl>
          <c:idx val="0"/>
          <c:layout>
            <c:manualLayout>
              <c:x val="0.23097826086956513"/>
              <c:y val="8.0321285140562124E-2"/>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1CB2BA"/>
          </a:solidFill>
          <a:ln w="19050">
            <a:solidFill>
              <a:schemeClr val="lt1"/>
            </a:solidFill>
          </a:ln>
          <a:effectLst/>
        </c:spPr>
        <c:dLbl>
          <c:idx val="0"/>
          <c:layout>
            <c:manualLayout>
              <c:x val="-0.14039855072463769"/>
              <c:y val="-3.3467202141900937E-2"/>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7FE3E6"/>
          </a:solidFill>
          <a:ln w="19050">
            <a:solidFill>
              <a:schemeClr val="lt1"/>
            </a:solidFill>
          </a:ln>
          <a:effectLst/>
        </c:spPr>
        <c:dLbl>
          <c:idx val="0"/>
          <c:layout>
            <c:manualLayout>
              <c:x val="-1.8115942028985508E-2"/>
              <c:y val="-0.16733601070950468"/>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18D4D9"/>
          </a:solidFill>
          <a:ln w="19050">
            <a:solidFill>
              <a:schemeClr val="lt1"/>
            </a:solidFill>
          </a:ln>
          <a:effectLst/>
        </c:spPr>
        <c:dLbl>
          <c:idx val="0"/>
          <c:layout>
            <c:manualLayout>
              <c:x val="0.20380434782608703"/>
              <c:y val="-6.6934404283801874E-2"/>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0B5C60"/>
          </a:solidFill>
          <a:ln w="19050">
            <a:solidFill>
              <a:schemeClr val="lt1"/>
            </a:solidFill>
          </a:ln>
          <a:effectLst/>
        </c:spPr>
        <c:dLbl>
          <c:idx val="0"/>
          <c:layout>
            <c:manualLayout>
              <c:x val="0.23097826086956513"/>
              <c:y val="8.0321285140562124E-2"/>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rgbClr val="1CB2BA"/>
          </a:solidFill>
          <a:ln w="19050">
            <a:solidFill>
              <a:schemeClr val="lt1"/>
            </a:solidFill>
          </a:ln>
          <a:effectLst/>
        </c:spPr>
        <c:dLbl>
          <c:idx val="0"/>
          <c:layout>
            <c:manualLayout>
              <c:x val="-0.14039855072463769"/>
              <c:y val="-3.3467202141900937E-2"/>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rgbClr val="7FE3E6"/>
          </a:solidFill>
          <a:ln w="19050">
            <a:solidFill>
              <a:schemeClr val="lt1"/>
            </a:solidFill>
          </a:ln>
          <a:effectLst/>
        </c:spPr>
        <c:dLbl>
          <c:idx val="0"/>
          <c:layout>
            <c:manualLayout>
              <c:x val="-1.8115942028985508E-2"/>
              <c:y val="-0.16733601070950468"/>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Pivot_Charts!$B$82</c:f>
              <c:strCache>
                <c:ptCount val="1"/>
                <c:pt idx="0">
                  <c:v>Total</c:v>
                </c:pt>
              </c:strCache>
            </c:strRef>
          </c:tx>
          <c:dPt>
            <c:idx val="0"/>
            <c:bubble3D val="0"/>
            <c:spPr>
              <a:solidFill>
                <a:srgbClr val="18D4D9"/>
              </a:solidFill>
              <a:ln w="19050">
                <a:solidFill>
                  <a:schemeClr val="lt1"/>
                </a:solidFill>
              </a:ln>
              <a:effectLst/>
            </c:spPr>
            <c:extLst>
              <c:ext xmlns:c16="http://schemas.microsoft.com/office/drawing/2014/chart" uri="{C3380CC4-5D6E-409C-BE32-E72D297353CC}">
                <c16:uniqueId val="{00000001-E157-451E-86C0-21C3919D8EF5}"/>
              </c:ext>
            </c:extLst>
          </c:dPt>
          <c:dPt>
            <c:idx val="1"/>
            <c:bubble3D val="0"/>
            <c:spPr>
              <a:solidFill>
                <a:srgbClr val="0B5C60"/>
              </a:solidFill>
              <a:ln w="19050">
                <a:solidFill>
                  <a:schemeClr val="lt1"/>
                </a:solidFill>
              </a:ln>
              <a:effectLst/>
            </c:spPr>
            <c:extLst>
              <c:ext xmlns:c16="http://schemas.microsoft.com/office/drawing/2014/chart" uri="{C3380CC4-5D6E-409C-BE32-E72D297353CC}">
                <c16:uniqueId val="{00000003-E157-451E-86C0-21C3919D8EF5}"/>
              </c:ext>
            </c:extLst>
          </c:dPt>
          <c:dPt>
            <c:idx val="2"/>
            <c:bubble3D val="0"/>
            <c:spPr>
              <a:solidFill>
                <a:srgbClr val="1CB2BA"/>
              </a:solidFill>
              <a:ln w="19050">
                <a:solidFill>
                  <a:schemeClr val="lt1"/>
                </a:solidFill>
              </a:ln>
              <a:effectLst/>
            </c:spPr>
            <c:extLst>
              <c:ext xmlns:c16="http://schemas.microsoft.com/office/drawing/2014/chart" uri="{C3380CC4-5D6E-409C-BE32-E72D297353CC}">
                <c16:uniqueId val="{00000005-E157-451E-86C0-21C3919D8EF5}"/>
              </c:ext>
            </c:extLst>
          </c:dPt>
          <c:dPt>
            <c:idx val="3"/>
            <c:bubble3D val="0"/>
            <c:spPr>
              <a:solidFill>
                <a:srgbClr val="7FE3E6"/>
              </a:solidFill>
              <a:ln w="19050">
                <a:solidFill>
                  <a:schemeClr val="lt1"/>
                </a:solidFill>
              </a:ln>
              <a:effectLst/>
            </c:spPr>
            <c:extLst>
              <c:ext xmlns:c16="http://schemas.microsoft.com/office/drawing/2014/chart" uri="{C3380CC4-5D6E-409C-BE32-E72D297353CC}">
                <c16:uniqueId val="{00000007-E157-451E-86C0-21C3919D8EF5}"/>
              </c:ext>
            </c:extLst>
          </c:dPt>
          <c:dLbls>
            <c:dLbl>
              <c:idx val="0"/>
              <c:layout>
                <c:manualLayout>
                  <c:x val="0.20380434782608703"/>
                  <c:y val="-6.6934404283801874E-2"/>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E157-451E-86C0-21C3919D8EF5}"/>
                </c:ext>
              </c:extLst>
            </c:dLbl>
            <c:dLbl>
              <c:idx val="1"/>
              <c:layout>
                <c:manualLayout>
                  <c:x val="0.23097826086956513"/>
                  <c:y val="8.0321285140562124E-2"/>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E157-451E-86C0-21C3919D8EF5}"/>
                </c:ext>
              </c:extLst>
            </c:dLbl>
            <c:dLbl>
              <c:idx val="2"/>
              <c:layout>
                <c:manualLayout>
                  <c:x val="-0.14039855072463769"/>
                  <c:y val="-3.3467202141900937E-2"/>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E157-451E-86C0-21C3919D8EF5}"/>
                </c:ext>
              </c:extLst>
            </c:dLbl>
            <c:dLbl>
              <c:idx val="3"/>
              <c:layout>
                <c:manualLayout>
                  <c:x val="-1.8115942028985508E-2"/>
                  <c:y val="-0.16733601070950468"/>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E157-451E-86C0-21C3919D8EF5}"/>
                </c:ext>
              </c:extLst>
            </c:dLbl>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6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Pivot_Charts!$A$83:$A$87</c:f>
              <c:strCache>
                <c:ptCount val="4"/>
                <c:pt idx="0">
                  <c:v>Cancelled</c:v>
                </c:pt>
                <c:pt idx="1">
                  <c:v>Delivered</c:v>
                </c:pt>
                <c:pt idx="2">
                  <c:v>Pending</c:v>
                </c:pt>
                <c:pt idx="3">
                  <c:v>Returned</c:v>
                </c:pt>
              </c:strCache>
            </c:strRef>
          </c:cat>
          <c:val>
            <c:numRef>
              <c:f>Pivot_Charts!$B$83:$B$87</c:f>
              <c:numCache>
                <c:formatCode>0.00%</c:formatCode>
                <c:ptCount val="4"/>
                <c:pt idx="0">
                  <c:v>0.10617399438727783</c:v>
                </c:pt>
                <c:pt idx="1">
                  <c:v>0.70135640785781106</c:v>
                </c:pt>
                <c:pt idx="2">
                  <c:v>0.11950420954162769</c:v>
                </c:pt>
                <c:pt idx="3">
                  <c:v>7.2965388213283439E-2</c:v>
                </c:pt>
              </c:numCache>
            </c:numRef>
          </c:val>
          <c:extLst>
            <c:ext xmlns:c16="http://schemas.microsoft.com/office/drawing/2014/chart" uri="{C3380CC4-5D6E-409C-BE32-E72D297353CC}">
              <c16:uniqueId val="{00000008-E157-451E-86C0-21C3919D8EF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no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[retail_sales_analysis_excel.xlsx.xlsx]Pivot_Charts!PivotTable7</c:name>
    <c:fmtId val="8"/>
  </c:pivotSource>
  <c:chart>
    <c:title>
      <c:tx>
        <c:rich>
          <a:bodyPr rot="0" spcFirstLastPara="1" vertOverflow="ellipsis" vert="horz" wrap="square" anchor="ctr" anchorCtr="1"/>
          <a:lstStyle/>
          <a:p>
            <a:pPr algn="ctr" rtl="0">
              <a:defRPr lang="en-US" sz="1300" b="0" i="0" u="sng" strike="noStrike" kern="1200" spc="0" baseline="0">
                <a:solidFill>
                  <a:schemeClr val="bg1"/>
                </a:solidFill>
                <a:latin typeface="Berlin Sans FB" panose="020E0602020502020306" pitchFamily="34" charset="0"/>
                <a:ea typeface="+mn-ea"/>
                <a:cs typeface="+mn-cs"/>
              </a:defRPr>
            </a:pPr>
            <a:r>
              <a:rPr lang="en-US" sz="1300" b="0" i="0" u="sng" strike="noStrike" kern="1200" spc="0" baseline="0">
                <a:solidFill>
                  <a:schemeClr val="bg1"/>
                </a:solidFill>
                <a:latin typeface="Berlin Sans FB" panose="020E0602020502020306" pitchFamily="34" charset="0"/>
                <a:ea typeface="+mn-ea"/>
                <a:cs typeface="+mn-cs"/>
              </a:rPr>
              <a:t>Sales by Payment Method</a:t>
            </a:r>
          </a:p>
        </c:rich>
      </c:tx>
      <c:overlay val="0"/>
      <c:spPr>
        <a:noFill/>
        <a:ln>
          <a:noFill/>
        </a:ln>
        <a:effectLst/>
      </c:spPr>
      <c:txPr>
        <a:bodyPr rot="0" spcFirstLastPara="1" vertOverflow="ellipsis" vert="horz" wrap="square" anchor="ctr" anchorCtr="1"/>
        <a:lstStyle/>
        <a:p>
          <a:pPr algn="ctr" rtl="0">
            <a:defRPr lang="en-US" sz="1300" b="0" i="0" u="sng" strike="noStrike" kern="1200" spc="0" baseline="0">
              <a:solidFill>
                <a:schemeClr val="bg1"/>
              </a:solidFill>
              <a:latin typeface="Berlin Sans FB" panose="020E0602020502020306"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B5C60"/>
          </a:solidFill>
          <a:ln>
            <a:noFill/>
          </a:ln>
          <a:effectLst/>
        </c:spPr>
      </c:pivotFmt>
      <c:pivotFmt>
        <c:idx val="4"/>
        <c:spPr>
          <a:solidFill>
            <a:srgbClr val="137C80"/>
          </a:solidFill>
          <a:ln>
            <a:noFill/>
          </a:ln>
          <a:effectLst/>
        </c:spPr>
      </c:pivotFmt>
      <c:pivotFmt>
        <c:idx val="5"/>
        <c:spPr>
          <a:solidFill>
            <a:srgbClr val="1CB2BA"/>
          </a:solidFill>
          <a:ln>
            <a:noFill/>
          </a:ln>
          <a:effectLst/>
        </c:spPr>
      </c:pivotFmt>
      <c:pivotFmt>
        <c:idx val="6"/>
        <c:spPr>
          <a:solidFill>
            <a:srgbClr val="18D4D9"/>
          </a:solidFill>
          <a:ln>
            <a:noFill/>
          </a:ln>
          <a:effectLst/>
        </c:spPr>
      </c:pivotFmt>
      <c:pivotFmt>
        <c:idx val="7"/>
        <c:spPr>
          <a:solidFill>
            <a:srgbClr val="7FE3E6"/>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B5C60"/>
          </a:solidFill>
          <a:ln>
            <a:noFill/>
          </a:ln>
          <a:effectLst/>
        </c:spPr>
      </c:pivotFmt>
      <c:pivotFmt>
        <c:idx val="10"/>
        <c:spPr>
          <a:solidFill>
            <a:srgbClr val="137C80"/>
          </a:solidFill>
          <a:ln>
            <a:noFill/>
          </a:ln>
          <a:effectLst/>
        </c:spPr>
      </c:pivotFmt>
      <c:pivotFmt>
        <c:idx val="11"/>
        <c:spPr>
          <a:solidFill>
            <a:srgbClr val="1CB2BA"/>
          </a:solidFill>
          <a:ln>
            <a:noFill/>
          </a:ln>
          <a:effectLst/>
        </c:spPr>
      </c:pivotFmt>
      <c:pivotFmt>
        <c:idx val="12"/>
        <c:spPr>
          <a:solidFill>
            <a:srgbClr val="18D4D9"/>
          </a:solidFill>
          <a:ln>
            <a:noFill/>
          </a:ln>
          <a:effectLst/>
        </c:spPr>
      </c:pivotFmt>
      <c:pivotFmt>
        <c:idx val="13"/>
        <c:spPr>
          <a:solidFill>
            <a:srgbClr val="7FE3E6"/>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B5C60"/>
          </a:solidFill>
          <a:ln>
            <a:noFill/>
          </a:ln>
          <a:effectLst/>
        </c:spPr>
      </c:pivotFmt>
      <c:pivotFmt>
        <c:idx val="16"/>
        <c:spPr>
          <a:solidFill>
            <a:srgbClr val="137C80"/>
          </a:solidFill>
          <a:ln>
            <a:noFill/>
          </a:ln>
          <a:effectLst/>
        </c:spPr>
      </c:pivotFmt>
      <c:pivotFmt>
        <c:idx val="17"/>
        <c:spPr>
          <a:solidFill>
            <a:srgbClr val="1CB2BA"/>
          </a:solidFill>
          <a:ln>
            <a:noFill/>
          </a:ln>
          <a:effectLst/>
        </c:spPr>
      </c:pivotFmt>
      <c:pivotFmt>
        <c:idx val="18"/>
        <c:spPr>
          <a:solidFill>
            <a:srgbClr val="18D4D9"/>
          </a:solidFill>
          <a:ln>
            <a:noFill/>
          </a:ln>
          <a:effectLst/>
        </c:spPr>
      </c:pivotFmt>
      <c:pivotFmt>
        <c:idx val="19"/>
        <c:spPr>
          <a:solidFill>
            <a:srgbClr val="7FE3E6"/>
          </a:solidFill>
          <a:ln>
            <a:noFill/>
          </a:ln>
          <a:effectLst/>
        </c:spPr>
      </c:pivotFmt>
    </c:pivotFmts>
    <c:plotArea>
      <c:layout>
        <c:manualLayout>
          <c:layoutTarget val="inner"/>
          <c:xMode val="edge"/>
          <c:yMode val="edge"/>
          <c:x val="0.15580336832895889"/>
          <c:y val="0.17678258967629046"/>
          <c:w val="0.84419663167104109"/>
          <c:h val="0.73896617089530481"/>
        </c:manualLayout>
      </c:layout>
      <c:barChart>
        <c:barDir val="col"/>
        <c:grouping val="clustered"/>
        <c:varyColors val="0"/>
        <c:ser>
          <c:idx val="0"/>
          <c:order val="0"/>
          <c:tx>
            <c:strRef>
              <c:f>Pivot_Charts!$B$94</c:f>
              <c:strCache>
                <c:ptCount val="1"/>
                <c:pt idx="0">
                  <c:v>Total</c:v>
                </c:pt>
              </c:strCache>
            </c:strRef>
          </c:tx>
          <c:spPr>
            <a:solidFill>
              <a:schemeClr val="accent1"/>
            </a:solidFill>
            <a:ln>
              <a:noFill/>
            </a:ln>
            <a:effectLst/>
          </c:spPr>
          <c:invertIfNegative val="0"/>
          <c:dPt>
            <c:idx val="0"/>
            <c:invertIfNegative val="0"/>
            <c:bubble3D val="0"/>
            <c:spPr>
              <a:solidFill>
                <a:srgbClr val="0B5C60"/>
              </a:solidFill>
              <a:ln>
                <a:noFill/>
              </a:ln>
              <a:effectLst/>
            </c:spPr>
            <c:extLst>
              <c:ext xmlns:c16="http://schemas.microsoft.com/office/drawing/2014/chart" uri="{C3380CC4-5D6E-409C-BE32-E72D297353CC}">
                <c16:uniqueId val="{00000001-4575-4DB8-B13A-DBF321999EFD}"/>
              </c:ext>
            </c:extLst>
          </c:dPt>
          <c:dPt>
            <c:idx val="1"/>
            <c:invertIfNegative val="0"/>
            <c:bubble3D val="0"/>
            <c:spPr>
              <a:solidFill>
                <a:srgbClr val="137C80"/>
              </a:solidFill>
              <a:ln>
                <a:noFill/>
              </a:ln>
              <a:effectLst/>
            </c:spPr>
            <c:extLst>
              <c:ext xmlns:c16="http://schemas.microsoft.com/office/drawing/2014/chart" uri="{C3380CC4-5D6E-409C-BE32-E72D297353CC}">
                <c16:uniqueId val="{00000003-4575-4DB8-B13A-DBF321999EFD}"/>
              </c:ext>
            </c:extLst>
          </c:dPt>
          <c:dPt>
            <c:idx val="2"/>
            <c:invertIfNegative val="0"/>
            <c:bubble3D val="0"/>
            <c:spPr>
              <a:solidFill>
                <a:srgbClr val="1CB2BA"/>
              </a:solidFill>
              <a:ln>
                <a:noFill/>
              </a:ln>
              <a:effectLst/>
            </c:spPr>
            <c:extLst>
              <c:ext xmlns:c16="http://schemas.microsoft.com/office/drawing/2014/chart" uri="{C3380CC4-5D6E-409C-BE32-E72D297353CC}">
                <c16:uniqueId val="{00000005-4575-4DB8-B13A-DBF321999EFD}"/>
              </c:ext>
            </c:extLst>
          </c:dPt>
          <c:dPt>
            <c:idx val="3"/>
            <c:invertIfNegative val="0"/>
            <c:bubble3D val="0"/>
            <c:spPr>
              <a:solidFill>
                <a:srgbClr val="18D4D9"/>
              </a:solidFill>
              <a:ln>
                <a:noFill/>
              </a:ln>
              <a:effectLst/>
            </c:spPr>
            <c:extLst>
              <c:ext xmlns:c16="http://schemas.microsoft.com/office/drawing/2014/chart" uri="{C3380CC4-5D6E-409C-BE32-E72D297353CC}">
                <c16:uniqueId val="{00000007-4575-4DB8-B13A-DBF321999EFD}"/>
              </c:ext>
            </c:extLst>
          </c:dPt>
          <c:dPt>
            <c:idx val="4"/>
            <c:invertIfNegative val="0"/>
            <c:bubble3D val="0"/>
            <c:spPr>
              <a:solidFill>
                <a:srgbClr val="7FE3E6"/>
              </a:solidFill>
              <a:ln>
                <a:noFill/>
              </a:ln>
              <a:effectLst/>
            </c:spPr>
            <c:extLst>
              <c:ext xmlns:c16="http://schemas.microsoft.com/office/drawing/2014/chart" uri="{C3380CC4-5D6E-409C-BE32-E72D297353CC}">
                <c16:uniqueId val="{00000009-4575-4DB8-B13A-DBF321999EFD}"/>
              </c:ext>
            </c:extLst>
          </c:dPt>
          <c:dLbls>
            <c:spPr>
              <a:noFill/>
              <a:ln>
                <a:noFill/>
              </a:ln>
              <a:effectLst/>
            </c:spPr>
            <c:txPr>
              <a:bodyPr rot="0" spcFirstLastPara="1" vertOverflow="ellipsis" vert="horz" wrap="square" anchor="ctr" anchorCtr="0"/>
              <a:lstStyle/>
              <a:p>
                <a:pPr algn="ctr">
                  <a:defRPr lang="en-US"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Pivot_Charts!$A$95:$A$100</c:f>
              <c:strCache>
                <c:ptCount val="5"/>
                <c:pt idx="0">
                  <c:v>UPI</c:v>
                </c:pt>
                <c:pt idx="1">
                  <c:v>Card</c:v>
                </c:pt>
                <c:pt idx="2">
                  <c:v>Cash</c:v>
                </c:pt>
                <c:pt idx="3">
                  <c:v>NetBanking</c:v>
                </c:pt>
                <c:pt idx="4">
                  <c:v>Wallet</c:v>
                </c:pt>
              </c:strCache>
            </c:strRef>
          </c:cat>
          <c:val>
            <c:numRef>
              <c:f>Pivot_Charts!$B$95:$B$100</c:f>
              <c:numCache>
                <c:formatCode>\ #,##0.00,,"M"</c:formatCode>
                <c:ptCount val="5"/>
                <c:pt idx="0">
                  <c:v>12354892.219999999</c:v>
                </c:pt>
                <c:pt idx="1">
                  <c:v>5461530.2299999986</c:v>
                </c:pt>
                <c:pt idx="2">
                  <c:v>4319555.88</c:v>
                </c:pt>
                <c:pt idx="3">
                  <c:v>1952850.4699999997</c:v>
                </c:pt>
                <c:pt idx="4">
                  <c:v>535097.32000000007</c:v>
                </c:pt>
              </c:numCache>
            </c:numRef>
          </c:val>
          <c:extLst>
            <c:ext xmlns:c16="http://schemas.microsoft.com/office/drawing/2014/chart" uri="{C3380CC4-5D6E-409C-BE32-E72D297353CC}">
              <c16:uniqueId val="{0000000A-4575-4DB8-B13A-DBF321999EFD}"/>
            </c:ext>
          </c:extLst>
        </c:ser>
        <c:dLbls>
          <c:dLblPos val="outEnd"/>
          <c:showLegendKey val="0"/>
          <c:showVal val="1"/>
          <c:showCatName val="0"/>
          <c:showSerName val="0"/>
          <c:showPercent val="0"/>
          <c:showBubbleSize val="0"/>
        </c:dLbls>
        <c:gapWidth val="219"/>
        <c:overlap val="-27"/>
        <c:axId val="2074226048"/>
        <c:axId val="2074236608"/>
      </c:barChart>
      <c:catAx>
        <c:axId val="207422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crossAx val="2074236608"/>
        <c:crosses val="autoZero"/>
        <c:auto val="1"/>
        <c:lblAlgn val="ctr"/>
        <c:lblOffset val="100"/>
        <c:noMultiLvlLbl val="0"/>
      </c:catAx>
      <c:valAx>
        <c:axId val="2074236608"/>
        <c:scaling>
          <c:orientation val="minMax"/>
        </c:scaling>
        <c:delete val="0"/>
        <c:axPos val="l"/>
        <c:majorGridlines>
          <c:spPr>
            <a:ln w="9525" cap="flat" cmpd="sng" algn="ctr">
              <a:solidFill>
                <a:srgbClr val="0B5C60">
                  <a:alpha val="48000"/>
                </a:srgbClr>
              </a:solidFill>
              <a:round/>
            </a:ln>
            <a:effectLst/>
          </c:spPr>
        </c:majorGridlines>
        <c:numFmt formatCode="\ #,##0.00,,&quot;M&quot;"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crossAx val="207422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no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15240</xdr:colOff>
      <xdr:row>1</xdr:row>
      <xdr:rowOff>83820</xdr:rowOff>
    </xdr:from>
    <xdr:to>
      <xdr:col>6</xdr:col>
      <xdr:colOff>784860</xdr:colOff>
      <xdr:row>16</xdr:row>
      <xdr:rowOff>15240</xdr:rowOff>
    </xdr:to>
    <xdr:graphicFrame macro="">
      <xdr:nvGraphicFramePr>
        <xdr:cNvPr id="3" name="Chart 2">
          <a:extLst>
            <a:ext uri="{FF2B5EF4-FFF2-40B4-BE49-F238E27FC236}">
              <a16:creationId xmlns:a16="http://schemas.microsoft.com/office/drawing/2014/main" id="{06BBAE58-2A9E-BD9F-1183-D9547647E4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579120</xdr:colOff>
      <xdr:row>20</xdr:row>
      <xdr:rowOff>38100</xdr:rowOff>
    </xdr:from>
    <xdr:to>
      <xdr:col>6</xdr:col>
      <xdr:colOff>487680</xdr:colOff>
      <xdr:row>31</xdr:row>
      <xdr:rowOff>121920</xdr:rowOff>
    </xdr:to>
    <xdr:graphicFrame macro="">
      <xdr:nvGraphicFramePr>
        <xdr:cNvPr id="4" name="Chart 3">
          <a:extLst>
            <a:ext uri="{FF2B5EF4-FFF2-40B4-BE49-F238E27FC236}">
              <a16:creationId xmlns:a16="http://schemas.microsoft.com/office/drawing/2014/main" id="{09B6C134-2B9B-85EA-519B-EF1669D24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624840</xdr:colOff>
      <xdr:row>34</xdr:row>
      <xdr:rowOff>152400</xdr:rowOff>
    </xdr:from>
    <xdr:to>
      <xdr:col>6</xdr:col>
      <xdr:colOff>533400</xdr:colOff>
      <xdr:row>45</xdr:row>
      <xdr:rowOff>121920</xdr:rowOff>
    </xdr:to>
    <xdr:graphicFrame macro="">
      <xdr:nvGraphicFramePr>
        <xdr:cNvPr id="5" name="Chart 4">
          <a:extLst>
            <a:ext uri="{FF2B5EF4-FFF2-40B4-BE49-F238E27FC236}">
              <a16:creationId xmlns:a16="http://schemas.microsoft.com/office/drawing/2014/main" id="{AC7AD344-73B5-A667-682F-8D166DACE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1150620</xdr:colOff>
      <xdr:row>50</xdr:row>
      <xdr:rowOff>129540</xdr:rowOff>
    </xdr:from>
    <xdr:to>
      <xdr:col>5</xdr:col>
      <xdr:colOff>792480</xdr:colOff>
      <xdr:row>60</xdr:row>
      <xdr:rowOff>160020</xdr:rowOff>
    </xdr:to>
    <xdr:graphicFrame macro="">
      <xdr:nvGraphicFramePr>
        <xdr:cNvPr id="6" name="Chart 5">
          <a:extLst>
            <a:ext uri="{FF2B5EF4-FFF2-40B4-BE49-F238E27FC236}">
              <a16:creationId xmlns:a16="http://schemas.microsoft.com/office/drawing/2014/main" id="{9B4DF83A-5E9B-D2BA-5D06-A2B00B94B3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274320</xdr:colOff>
      <xdr:row>63</xdr:row>
      <xdr:rowOff>30480</xdr:rowOff>
    </xdr:from>
    <xdr:to>
      <xdr:col>5</xdr:col>
      <xdr:colOff>762000</xdr:colOff>
      <xdr:row>72</xdr:row>
      <xdr:rowOff>106680</xdr:rowOff>
    </xdr:to>
    <xdr:graphicFrame macro="">
      <xdr:nvGraphicFramePr>
        <xdr:cNvPr id="2" name="Chart 1">
          <a:extLst>
            <a:ext uri="{FF2B5EF4-FFF2-40B4-BE49-F238E27FC236}">
              <a16:creationId xmlns:a16="http://schemas.microsoft.com/office/drawing/2014/main" id="{7E0B8512-BE78-2953-A908-458B2E2C0C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251460</xdr:colOff>
      <xdr:row>77</xdr:row>
      <xdr:rowOff>144780</xdr:rowOff>
    </xdr:from>
    <xdr:to>
      <xdr:col>5</xdr:col>
      <xdr:colOff>723900</xdr:colOff>
      <xdr:row>88</xdr:row>
      <xdr:rowOff>30480</xdr:rowOff>
    </xdr:to>
    <xdr:graphicFrame macro="">
      <xdr:nvGraphicFramePr>
        <xdr:cNvPr id="7" name="Chart 6">
          <a:extLst>
            <a:ext uri="{FF2B5EF4-FFF2-40B4-BE49-F238E27FC236}">
              <a16:creationId xmlns:a16="http://schemas.microsoft.com/office/drawing/2014/main" id="{4DFBA532-A9D0-71C7-14FB-643CF9A9A0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800100</xdr:colOff>
      <xdr:row>90</xdr:row>
      <xdr:rowOff>121920</xdr:rowOff>
    </xdr:from>
    <xdr:to>
      <xdr:col>6</xdr:col>
      <xdr:colOff>708660</xdr:colOff>
      <xdr:row>105</xdr:row>
      <xdr:rowOff>121920</xdr:rowOff>
    </xdr:to>
    <xdr:graphicFrame macro="">
      <xdr:nvGraphicFramePr>
        <xdr:cNvPr id="9" name="Chart 8">
          <a:extLst>
            <a:ext uri="{FF2B5EF4-FFF2-40B4-BE49-F238E27FC236}">
              <a16:creationId xmlns:a16="http://schemas.microsoft.com/office/drawing/2014/main" id="{A66BBCF7-7E64-978B-B35F-CE86016E2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67235</xdr:colOff>
      <xdr:row>0</xdr:row>
      <xdr:rowOff>172720</xdr:rowOff>
    </xdr:from>
    <xdr:to>
      <xdr:col>20</xdr:col>
      <xdr:colOff>537882</xdr:colOff>
      <xdr:row>40</xdr:row>
      <xdr:rowOff>156882</xdr:rowOff>
    </xdr:to>
    <xdr:sp macro="" textlink="">
      <xdr:nvSpPr>
        <xdr:cNvPr id="2" name="Rectangle: Rounded Corners 1">
          <a:extLst>
            <a:ext uri="{FF2B5EF4-FFF2-40B4-BE49-F238E27FC236}">
              <a16:creationId xmlns:a16="http://schemas.microsoft.com/office/drawing/2014/main" id="{E945F785-027C-4E74-833A-D551BE2E916F}"/>
            </a:ext>
          </a:extLst>
        </xdr:cNvPr>
        <xdr:cNvSpPr/>
      </xdr:nvSpPr>
      <xdr:spPr>
        <a:xfrm>
          <a:off x="681751" y="172720"/>
          <a:ext cx="12146454" cy="7358356"/>
        </a:xfrm>
        <a:prstGeom prst="roundRect">
          <a:avLst>
            <a:gd name="adj" fmla="val 2874"/>
          </a:avLst>
        </a:prstGeom>
        <a:solidFill>
          <a:srgbClr val="111827"/>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1</xdr:col>
      <xdr:colOff>416560</xdr:colOff>
      <xdr:row>2</xdr:row>
      <xdr:rowOff>132080</xdr:rowOff>
    </xdr:from>
    <xdr:to>
      <xdr:col>4</xdr:col>
      <xdr:colOff>101600</xdr:colOff>
      <xdr:row>5</xdr:row>
      <xdr:rowOff>172720</xdr:rowOff>
    </xdr:to>
    <xdr:sp macro="" textlink="">
      <xdr:nvSpPr>
        <xdr:cNvPr id="4" name="Rectangle: Rounded Corners 3">
          <a:extLst>
            <a:ext uri="{FF2B5EF4-FFF2-40B4-BE49-F238E27FC236}">
              <a16:creationId xmlns:a16="http://schemas.microsoft.com/office/drawing/2014/main" id="{7E0E88B8-8F8D-472A-9831-9CAB6CA0B751}"/>
            </a:ext>
          </a:extLst>
        </xdr:cNvPr>
        <xdr:cNvSpPr/>
      </xdr:nvSpPr>
      <xdr:spPr>
        <a:xfrm>
          <a:off x="1026160" y="497840"/>
          <a:ext cx="1513840" cy="589280"/>
        </a:xfrm>
        <a:prstGeom prst="roundRect">
          <a:avLst/>
        </a:prstGeom>
        <a:solidFill>
          <a:srgbClr val="0B5C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404308</xdr:colOff>
      <xdr:row>10</xdr:row>
      <xdr:rowOff>76050</xdr:rowOff>
    </xdr:from>
    <xdr:to>
      <xdr:col>4</xdr:col>
      <xdr:colOff>89348</xdr:colOff>
      <xdr:row>13</xdr:row>
      <xdr:rowOff>116689</xdr:rowOff>
    </xdr:to>
    <xdr:sp macro="" textlink="">
      <xdr:nvSpPr>
        <xdr:cNvPr id="5" name="Rectangle: Rounded Corners 4">
          <a:extLst>
            <a:ext uri="{FF2B5EF4-FFF2-40B4-BE49-F238E27FC236}">
              <a16:creationId xmlns:a16="http://schemas.microsoft.com/office/drawing/2014/main" id="{EB7E304D-56FE-4B42-9445-41624C171DF9}"/>
            </a:ext>
          </a:extLst>
        </xdr:cNvPr>
        <xdr:cNvSpPr/>
      </xdr:nvSpPr>
      <xdr:spPr>
        <a:xfrm>
          <a:off x="1013908" y="1904850"/>
          <a:ext cx="1513840" cy="589279"/>
        </a:xfrm>
        <a:prstGeom prst="roundRect">
          <a:avLst/>
        </a:prstGeom>
        <a:solidFill>
          <a:srgbClr val="0B5C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406997</xdr:colOff>
      <xdr:row>6</xdr:row>
      <xdr:rowOff>98462</xdr:rowOff>
    </xdr:from>
    <xdr:to>
      <xdr:col>4</xdr:col>
      <xdr:colOff>96519</xdr:colOff>
      <xdr:row>9</xdr:row>
      <xdr:rowOff>139103</xdr:rowOff>
    </xdr:to>
    <xdr:sp macro="" textlink="">
      <xdr:nvSpPr>
        <xdr:cNvPr id="6" name="Rectangle: Rounded Corners 5">
          <a:extLst>
            <a:ext uri="{FF2B5EF4-FFF2-40B4-BE49-F238E27FC236}">
              <a16:creationId xmlns:a16="http://schemas.microsoft.com/office/drawing/2014/main" id="{FE1592A9-171E-4E29-B068-A0879EF2E0FC}"/>
            </a:ext>
          </a:extLst>
        </xdr:cNvPr>
        <xdr:cNvSpPr/>
      </xdr:nvSpPr>
      <xdr:spPr>
        <a:xfrm>
          <a:off x="1016597" y="1195742"/>
          <a:ext cx="1518322" cy="589281"/>
        </a:xfrm>
        <a:prstGeom prst="roundRect">
          <a:avLst/>
        </a:prstGeom>
        <a:solidFill>
          <a:srgbClr val="0B5C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388620</xdr:colOff>
      <xdr:row>14</xdr:row>
      <xdr:rowOff>71567</xdr:rowOff>
    </xdr:from>
    <xdr:to>
      <xdr:col>4</xdr:col>
      <xdr:colOff>73660</xdr:colOff>
      <xdr:row>17</xdr:row>
      <xdr:rowOff>112207</xdr:rowOff>
    </xdr:to>
    <xdr:sp macro="" textlink="">
      <xdr:nvSpPr>
        <xdr:cNvPr id="7" name="Rectangle: Rounded Corners 6">
          <a:extLst>
            <a:ext uri="{FF2B5EF4-FFF2-40B4-BE49-F238E27FC236}">
              <a16:creationId xmlns:a16="http://schemas.microsoft.com/office/drawing/2014/main" id="{BAAE8656-AF49-4185-BB31-B23D3AA8E955}"/>
            </a:ext>
          </a:extLst>
        </xdr:cNvPr>
        <xdr:cNvSpPr/>
      </xdr:nvSpPr>
      <xdr:spPr>
        <a:xfrm>
          <a:off x="1003136" y="2652535"/>
          <a:ext cx="1528589" cy="593704"/>
        </a:xfrm>
        <a:prstGeom prst="roundRect">
          <a:avLst/>
        </a:prstGeom>
        <a:solidFill>
          <a:srgbClr val="0B5C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457348</xdr:colOff>
      <xdr:row>2</xdr:row>
      <xdr:rowOff>38250</xdr:rowOff>
    </xdr:from>
    <xdr:to>
      <xdr:col>12</xdr:col>
      <xdr:colOff>123264</xdr:colOff>
      <xdr:row>14</xdr:row>
      <xdr:rowOff>89647</xdr:rowOff>
    </xdr:to>
    <xdr:graphicFrame macro="">
      <xdr:nvGraphicFramePr>
        <xdr:cNvPr id="8" name="Chart 7">
          <a:extLst>
            <a:ext uri="{FF2B5EF4-FFF2-40B4-BE49-F238E27FC236}">
              <a16:creationId xmlns:a16="http://schemas.microsoft.com/office/drawing/2014/main" id="{82437AF2-0CE4-417B-82D7-5A6CA4ADB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300466</xdr:colOff>
      <xdr:row>2</xdr:row>
      <xdr:rowOff>27044</xdr:rowOff>
    </xdr:from>
    <xdr:to>
      <xdr:col>20</xdr:col>
      <xdr:colOff>347382</xdr:colOff>
      <xdr:row>14</xdr:row>
      <xdr:rowOff>100853</xdr:rowOff>
    </xdr:to>
    <xdr:graphicFrame macro="">
      <xdr:nvGraphicFramePr>
        <xdr:cNvPr id="9" name="Chart 8">
          <a:extLst>
            <a:ext uri="{FF2B5EF4-FFF2-40B4-BE49-F238E27FC236}">
              <a16:creationId xmlns:a16="http://schemas.microsoft.com/office/drawing/2014/main" id="{D0C67DBC-B218-4E96-BA3B-645BEFD2D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322877</xdr:colOff>
      <xdr:row>15</xdr:row>
      <xdr:rowOff>60661</xdr:rowOff>
    </xdr:from>
    <xdr:to>
      <xdr:col>20</xdr:col>
      <xdr:colOff>358587</xdr:colOff>
      <xdr:row>28</xdr:row>
      <xdr:rowOff>22412</xdr:rowOff>
    </xdr:to>
    <xdr:graphicFrame macro="">
      <xdr:nvGraphicFramePr>
        <xdr:cNvPr id="10" name="Chart 9">
          <a:extLst>
            <a:ext uri="{FF2B5EF4-FFF2-40B4-BE49-F238E27FC236}">
              <a16:creationId xmlns:a16="http://schemas.microsoft.com/office/drawing/2014/main" id="{30B61B25-6F07-489F-BB43-659892A93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414616</xdr:colOff>
      <xdr:row>29</xdr:row>
      <xdr:rowOff>15836</xdr:rowOff>
    </xdr:from>
    <xdr:to>
      <xdr:col>20</xdr:col>
      <xdr:colOff>358289</xdr:colOff>
      <xdr:row>39</xdr:row>
      <xdr:rowOff>145675</xdr:rowOff>
    </xdr:to>
    <xdr:graphicFrame macro="">
      <xdr:nvGraphicFramePr>
        <xdr:cNvPr id="11" name="Chart 10">
          <a:extLst>
            <a:ext uri="{FF2B5EF4-FFF2-40B4-BE49-F238E27FC236}">
              <a16:creationId xmlns:a16="http://schemas.microsoft.com/office/drawing/2014/main" id="{9B1C3FAA-DA48-4EBE-9FFA-E37B02967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434936</xdr:colOff>
      <xdr:row>29</xdr:row>
      <xdr:rowOff>33619</xdr:rowOff>
    </xdr:from>
    <xdr:to>
      <xdr:col>9</xdr:col>
      <xdr:colOff>324970</xdr:colOff>
      <xdr:row>39</xdr:row>
      <xdr:rowOff>156883</xdr:rowOff>
    </xdr:to>
    <xdr:graphicFrame macro="">
      <xdr:nvGraphicFramePr>
        <xdr:cNvPr id="12" name="Chart 11">
          <a:extLst>
            <a:ext uri="{FF2B5EF4-FFF2-40B4-BE49-F238E27FC236}">
              <a16:creationId xmlns:a16="http://schemas.microsoft.com/office/drawing/2014/main" id="{83A6C023-48E1-4B4B-8BAC-9CFCFBFA7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502173</xdr:colOff>
      <xdr:row>29</xdr:row>
      <xdr:rowOff>38249</xdr:rowOff>
    </xdr:from>
    <xdr:to>
      <xdr:col>15</xdr:col>
      <xdr:colOff>235323</xdr:colOff>
      <xdr:row>39</xdr:row>
      <xdr:rowOff>142687</xdr:rowOff>
    </xdr:to>
    <xdr:graphicFrame macro="">
      <xdr:nvGraphicFramePr>
        <xdr:cNvPr id="13" name="Chart 12">
          <a:extLst>
            <a:ext uri="{FF2B5EF4-FFF2-40B4-BE49-F238E27FC236}">
              <a16:creationId xmlns:a16="http://schemas.microsoft.com/office/drawing/2014/main" id="{3A4BF142-02E9-4E55-B087-09F37DF7D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385777</xdr:colOff>
      <xdr:row>15</xdr:row>
      <xdr:rowOff>54945</xdr:rowOff>
    </xdr:from>
    <xdr:to>
      <xdr:col>12</xdr:col>
      <xdr:colOff>118928</xdr:colOff>
      <xdr:row>28</xdr:row>
      <xdr:rowOff>21328</xdr:rowOff>
    </xdr:to>
    <xdr:graphicFrame macro="">
      <xdr:nvGraphicFramePr>
        <xdr:cNvPr id="14" name="Chart 13">
          <a:extLst>
            <a:ext uri="{FF2B5EF4-FFF2-40B4-BE49-F238E27FC236}">
              <a16:creationId xmlns:a16="http://schemas.microsoft.com/office/drawing/2014/main" id="{5E1DA594-2D2D-4BDF-A972-971714BC4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571500</xdr:colOff>
      <xdr:row>2</xdr:row>
      <xdr:rowOff>156883</xdr:rowOff>
    </xdr:from>
    <xdr:to>
      <xdr:col>3</xdr:col>
      <xdr:colOff>582706</xdr:colOff>
      <xdr:row>4</xdr:row>
      <xdr:rowOff>78442</xdr:rowOff>
    </xdr:to>
    <xdr:sp macro="" textlink="">
      <xdr:nvSpPr>
        <xdr:cNvPr id="15" name="TextBox 14">
          <a:extLst>
            <a:ext uri="{FF2B5EF4-FFF2-40B4-BE49-F238E27FC236}">
              <a16:creationId xmlns:a16="http://schemas.microsoft.com/office/drawing/2014/main" id="{05045C34-4C7D-42ED-AC4A-4392303306F2}"/>
            </a:ext>
          </a:extLst>
        </xdr:cNvPr>
        <xdr:cNvSpPr txBox="1"/>
      </xdr:nvSpPr>
      <xdr:spPr>
        <a:xfrm>
          <a:off x="1181100" y="522643"/>
          <a:ext cx="1230406" cy="287319"/>
        </a:xfrm>
        <a:prstGeom prst="rect">
          <a:avLst/>
        </a:prstGeom>
        <a:noFill/>
        <a:ln w="9525" cmpd="sng">
          <a:solidFill>
            <a:srgbClr val="0B5C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a:solidFill>
                <a:schemeClr val="bg1"/>
              </a:solidFill>
              <a:latin typeface="Berlin Sans FB" panose="020E0602020502020306" pitchFamily="34" charset="0"/>
            </a:rPr>
            <a:t>Total </a:t>
          </a:r>
          <a:r>
            <a:rPr lang="en-IN" sz="1600" b="0">
              <a:solidFill>
                <a:schemeClr val="bg1"/>
              </a:solidFill>
              <a:latin typeface="Berlin Sans FB" panose="020E0602020502020306" pitchFamily="34" charset="0"/>
            </a:rPr>
            <a:t>Sales</a:t>
          </a:r>
          <a:endParaRPr lang="en-IN" sz="1800" b="0">
            <a:solidFill>
              <a:schemeClr val="bg1"/>
            </a:solidFill>
            <a:latin typeface="Berlin Sans FB" panose="020E0602020502020306" pitchFamily="34" charset="0"/>
          </a:endParaRPr>
        </a:p>
      </xdr:txBody>
    </xdr:sp>
    <xdr:clientData/>
  </xdr:twoCellAnchor>
  <xdr:twoCellAnchor>
    <xdr:from>
      <xdr:col>2</xdr:col>
      <xdr:colOff>212912</xdr:colOff>
      <xdr:row>4</xdr:row>
      <xdr:rowOff>78442</xdr:rowOff>
    </xdr:from>
    <xdr:to>
      <xdr:col>3</xdr:col>
      <xdr:colOff>470647</xdr:colOff>
      <xdr:row>5</xdr:row>
      <xdr:rowOff>134470</xdr:rowOff>
    </xdr:to>
    <xdr:sp macro="" textlink="Pivot_Charts!$A$127">
      <xdr:nvSpPr>
        <xdr:cNvPr id="19" name="TextBox 18">
          <a:extLst>
            <a:ext uri="{FF2B5EF4-FFF2-40B4-BE49-F238E27FC236}">
              <a16:creationId xmlns:a16="http://schemas.microsoft.com/office/drawing/2014/main" id="{CB8AF0CC-1D17-48AB-9E67-1CD3889FA28E}"/>
            </a:ext>
          </a:extLst>
        </xdr:cNvPr>
        <xdr:cNvSpPr txBox="1"/>
      </xdr:nvSpPr>
      <xdr:spPr>
        <a:xfrm>
          <a:off x="1432112" y="809962"/>
          <a:ext cx="867335" cy="238908"/>
        </a:xfrm>
        <a:prstGeom prst="rect">
          <a:avLst/>
        </a:prstGeom>
        <a:noFill/>
        <a:ln w="9525" cmpd="sng">
          <a:solidFill>
            <a:srgbClr val="0B5C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C56A7A-8094-4B36-BECF-6E1EE718488B}" type="TxLink">
            <a:rPr lang="en-US" sz="1100" b="1" i="0" u="none" strike="noStrike">
              <a:solidFill>
                <a:schemeClr val="bg1"/>
              </a:solidFill>
              <a:latin typeface="Calibri"/>
              <a:ea typeface="Calibri"/>
              <a:cs typeface="Calibri"/>
            </a:rPr>
            <a:pPr/>
            <a:t>₹ 24.62M</a:t>
          </a:fld>
          <a:endParaRPr lang="en-IN" sz="1100" b="1">
            <a:solidFill>
              <a:schemeClr val="bg1"/>
            </a:solidFill>
          </a:endParaRPr>
        </a:p>
      </xdr:txBody>
    </xdr:sp>
    <xdr:clientData/>
  </xdr:twoCellAnchor>
  <xdr:twoCellAnchor editAs="oneCell">
    <xdr:from>
      <xdr:col>1</xdr:col>
      <xdr:colOff>344129</xdr:colOff>
      <xdr:row>27</xdr:row>
      <xdr:rowOff>37724</xdr:rowOff>
    </xdr:from>
    <xdr:to>
      <xdr:col>4</xdr:col>
      <xdr:colOff>122903</xdr:colOff>
      <xdr:row>33</xdr:row>
      <xdr:rowOff>170980</xdr:rowOff>
    </xdr:to>
    <mc:AlternateContent xmlns:mc="http://schemas.openxmlformats.org/markup-compatibility/2006" xmlns:a14="http://schemas.microsoft.com/office/drawing/2010/main">
      <mc:Choice Requires="a14">
        <xdr:graphicFrame macro="">
          <xdr:nvGraphicFramePr>
            <xdr:cNvPr id="20" name="Customer_Segment 1">
              <a:extLst>
                <a:ext uri="{FF2B5EF4-FFF2-40B4-BE49-F238E27FC236}">
                  <a16:creationId xmlns:a16="http://schemas.microsoft.com/office/drawing/2014/main" id="{562AA189-37A1-41E8-8BD9-52AA8FE0BB73}"/>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958645" y="5015305"/>
              <a:ext cx="1622323" cy="1239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344129</xdr:colOff>
      <xdr:row>18</xdr:row>
      <xdr:rowOff>52213</xdr:rowOff>
    </xdr:from>
    <xdr:to>
      <xdr:col>4</xdr:col>
      <xdr:colOff>135192</xdr:colOff>
      <xdr:row>27</xdr:row>
      <xdr:rowOff>61451</xdr:rowOff>
    </xdr:to>
    <mc:AlternateContent xmlns:mc="http://schemas.openxmlformats.org/markup-compatibility/2006" xmlns:a14="http://schemas.microsoft.com/office/drawing/2010/main">
      <mc:Choice Requires="a14">
        <xdr:graphicFrame macro="">
          <xdr:nvGraphicFramePr>
            <xdr:cNvPr id="21" name="Payment_Mode 1">
              <a:extLst>
                <a:ext uri="{FF2B5EF4-FFF2-40B4-BE49-F238E27FC236}">
                  <a16:creationId xmlns:a16="http://schemas.microsoft.com/office/drawing/2014/main" id="{EC299EC6-48E5-4205-9600-EF7F9ACB77E0}"/>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958645" y="3370600"/>
              <a:ext cx="1634612" cy="1668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266773</xdr:colOff>
      <xdr:row>8</xdr:row>
      <xdr:rowOff>23496</xdr:rowOff>
    </xdr:from>
    <xdr:to>
      <xdr:col>3</xdr:col>
      <xdr:colOff>255567</xdr:colOff>
      <xdr:row>9</xdr:row>
      <xdr:rowOff>90731</xdr:rowOff>
    </xdr:to>
    <xdr:sp macro="" textlink="Pivot_Charts!A122">
      <xdr:nvSpPr>
        <xdr:cNvPr id="23" name="TextBox 22">
          <a:extLst>
            <a:ext uri="{FF2B5EF4-FFF2-40B4-BE49-F238E27FC236}">
              <a16:creationId xmlns:a16="http://schemas.microsoft.com/office/drawing/2014/main" id="{676F6205-6A93-471E-9047-BF98C1B1B703}"/>
            </a:ext>
          </a:extLst>
        </xdr:cNvPr>
        <xdr:cNvSpPr txBox="1"/>
      </xdr:nvSpPr>
      <xdr:spPr>
        <a:xfrm>
          <a:off x="1495805" y="1498335"/>
          <a:ext cx="603310" cy="251590"/>
        </a:xfrm>
        <a:prstGeom prst="rect">
          <a:avLst/>
        </a:prstGeom>
        <a:noFill/>
        <a:ln w="9525" cmpd="sng">
          <a:solidFill>
            <a:srgbClr val="0B5C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39BD4CE-17B9-4F7F-A7BC-BCBFED9D7408}" type="TxLink">
            <a:rPr lang="en-US" sz="1100" b="0" i="0" u="none" strike="noStrike">
              <a:solidFill>
                <a:schemeClr val="bg1"/>
              </a:solidFill>
              <a:latin typeface="Calibri"/>
              <a:ea typeface="Calibri"/>
              <a:cs typeface="Calibri"/>
            </a:rPr>
            <a:pPr algn="ctr"/>
            <a:t>500</a:t>
          </a:fld>
          <a:endParaRPr lang="en-IN" sz="1100" b="1">
            <a:solidFill>
              <a:schemeClr val="bg1"/>
            </a:solidFill>
          </a:endParaRPr>
        </a:p>
      </xdr:txBody>
    </xdr:sp>
    <xdr:clientData/>
  </xdr:twoCellAnchor>
  <xdr:twoCellAnchor editAs="oneCell">
    <xdr:from>
      <xdr:col>1</xdr:col>
      <xdr:colOff>356420</xdr:colOff>
      <xdr:row>33</xdr:row>
      <xdr:rowOff>102748</xdr:rowOff>
    </xdr:from>
    <xdr:to>
      <xdr:col>4</xdr:col>
      <xdr:colOff>110613</xdr:colOff>
      <xdr:row>39</xdr:row>
      <xdr:rowOff>135195</xdr:rowOff>
    </xdr:to>
    <mc:AlternateContent xmlns:mc="http://schemas.openxmlformats.org/markup-compatibility/2006" xmlns:a14="http://schemas.microsoft.com/office/drawing/2010/main">
      <mc:Choice Requires="a14">
        <xdr:graphicFrame macro="">
          <xdr:nvGraphicFramePr>
            <xdr:cNvPr id="25" name="Sales_Channel 1">
              <a:extLst>
                <a:ext uri="{FF2B5EF4-FFF2-40B4-BE49-F238E27FC236}">
                  <a16:creationId xmlns:a16="http://schemas.microsoft.com/office/drawing/2014/main" id="{E475E977-EE74-4FA0-B33C-D85887EFAC46}"/>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970936" y="6186458"/>
              <a:ext cx="1597742" cy="1138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221225</xdr:colOff>
      <xdr:row>1</xdr:row>
      <xdr:rowOff>12291</xdr:rowOff>
    </xdr:from>
    <xdr:to>
      <xdr:col>12</xdr:col>
      <xdr:colOff>245806</xdr:colOff>
      <xdr:row>28</xdr:row>
      <xdr:rowOff>61451</xdr:rowOff>
    </xdr:to>
    <xdr:cxnSp macro="">
      <xdr:nvCxnSpPr>
        <xdr:cNvPr id="27" name="Straight Connector 26">
          <a:extLst>
            <a:ext uri="{FF2B5EF4-FFF2-40B4-BE49-F238E27FC236}">
              <a16:creationId xmlns:a16="http://schemas.microsoft.com/office/drawing/2014/main" id="{9912F831-2A2B-B32F-E7F5-C8F0B1A3E5CD}"/>
            </a:ext>
          </a:extLst>
        </xdr:cNvPr>
        <xdr:cNvCxnSpPr/>
      </xdr:nvCxnSpPr>
      <xdr:spPr>
        <a:xfrm>
          <a:off x="7595419" y="196646"/>
          <a:ext cx="24581" cy="5026740"/>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4</xdr:col>
      <xdr:colOff>540774</xdr:colOff>
      <xdr:row>15</xdr:row>
      <xdr:rowOff>12290</xdr:rowOff>
    </xdr:from>
    <xdr:to>
      <xdr:col>20</xdr:col>
      <xdr:colOff>172064</xdr:colOff>
      <xdr:row>15</xdr:row>
      <xdr:rowOff>24580</xdr:rowOff>
    </xdr:to>
    <xdr:cxnSp macro="">
      <xdr:nvCxnSpPr>
        <xdr:cNvPr id="31" name="Straight Connector 30">
          <a:extLst>
            <a:ext uri="{FF2B5EF4-FFF2-40B4-BE49-F238E27FC236}">
              <a16:creationId xmlns:a16="http://schemas.microsoft.com/office/drawing/2014/main" id="{73D838C5-8B7C-F5CC-7E64-E2B903C0855F}"/>
            </a:ext>
          </a:extLst>
        </xdr:cNvPr>
        <xdr:cNvCxnSpPr/>
      </xdr:nvCxnSpPr>
      <xdr:spPr>
        <a:xfrm>
          <a:off x="2998839" y="2777613"/>
          <a:ext cx="9463548" cy="12290"/>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4</xdr:col>
      <xdr:colOff>508819</xdr:colOff>
      <xdr:row>28</xdr:row>
      <xdr:rowOff>90949</xdr:rowOff>
    </xdr:from>
    <xdr:to>
      <xdr:col>20</xdr:col>
      <xdr:colOff>140109</xdr:colOff>
      <xdr:row>28</xdr:row>
      <xdr:rowOff>103239</xdr:rowOff>
    </xdr:to>
    <xdr:cxnSp macro="">
      <xdr:nvCxnSpPr>
        <xdr:cNvPr id="32" name="Straight Connector 31">
          <a:extLst>
            <a:ext uri="{FF2B5EF4-FFF2-40B4-BE49-F238E27FC236}">
              <a16:creationId xmlns:a16="http://schemas.microsoft.com/office/drawing/2014/main" id="{63DC2CF7-9D9D-42C1-8D44-8D8392F45BBE}"/>
            </a:ext>
          </a:extLst>
        </xdr:cNvPr>
        <xdr:cNvCxnSpPr/>
      </xdr:nvCxnSpPr>
      <xdr:spPr>
        <a:xfrm>
          <a:off x="2966884" y="5252884"/>
          <a:ext cx="9463548" cy="12290"/>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9</xdr:col>
      <xdr:colOff>393290</xdr:colOff>
      <xdr:row>28</xdr:row>
      <xdr:rowOff>122904</xdr:rowOff>
    </xdr:from>
    <xdr:to>
      <xdr:col>9</xdr:col>
      <xdr:colOff>405581</xdr:colOff>
      <xdr:row>40</xdr:row>
      <xdr:rowOff>110612</xdr:rowOff>
    </xdr:to>
    <xdr:cxnSp macro="">
      <xdr:nvCxnSpPr>
        <xdr:cNvPr id="34" name="Straight Connector 33">
          <a:extLst>
            <a:ext uri="{FF2B5EF4-FFF2-40B4-BE49-F238E27FC236}">
              <a16:creationId xmlns:a16="http://schemas.microsoft.com/office/drawing/2014/main" id="{B3BA4D3A-1D23-9105-F1C8-47AC69F17798}"/>
            </a:ext>
          </a:extLst>
        </xdr:cNvPr>
        <xdr:cNvCxnSpPr/>
      </xdr:nvCxnSpPr>
      <xdr:spPr>
        <a:xfrm>
          <a:off x="5923935" y="5284839"/>
          <a:ext cx="12291" cy="2199967"/>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15</xdr:col>
      <xdr:colOff>312174</xdr:colOff>
      <xdr:row>28</xdr:row>
      <xdr:rowOff>127820</xdr:rowOff>
    </xdr:from>
    <xdr:to>
      <xdr:col>15</xdr:col>
      <xdr:colOff>324465</xdr:colOff>
      <xdr:row>40</xdr:row>
      <xdr:rowOff>115528</xdr:rowOff>
    </xdr:to>
    <xdr:cxnSp macro="">
      <xdr:nvCxnSpPr>
        <xdr:cNvPr id="35" name="Straight Connector 34">
          <a:extLst>
            <a:ext uri="{FF2B5EF4-FFF2-40B4-BE49-F238E27FC236}">
              <a16:creationId xmlns:a16="http://schemas.microsoft.com/office/drawing/2014/main" id="{512ACACB-A75D-4D46-9C22-E33FCDD3BF68}"/>
            </a:ext>
          </a:extLst>
        </xdr:cNvPr>
        <xdr:cNvCxnSpPr/>
      </xdr:nvCxnSpPr>
      <xdr:spPr>
        <a:xfrm>
          <a:off x="9529916" y="5289755"/>
          <a:ext cx="12291" cy="2199967"/>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4</xdr:col>
      <xdr:colOff>344129</xdr:colOff>
      <xdr:row>1</xdr:row>
      <xdr:rowOff>36872</xdr:rowOff>
    </xdr:from>
    <xdr:to>
      <xdr:col>4</xdr:col>
      <xdr:colOff>344129</xdr:colOff>
      <xdr:row>40</xdr:row>
      <xdr:rowOff>98323</xdr:rowOff>
    </xdr:to>
    <xdr:cxnSp macro="">
      <xdr:nvCxnSpPr>
        <xdr:cNvPr id="26" name="Straight Connector 25">
          <a:extLst>
            <a:ext uri="{FF2B5EF4-FFF2-40B4-BE49-F238E27FC236}">
              <a16:creationId xmlns:a16="http://schemas.microsoft.com/office/drawing/2014/main" id="{CC305B1B-C7BA-985A-3D8C-4C64C42827F2}"/>
            </a:ext>
          </a:extLst>
        </xdr:cNvPr>
        <xdr:cNvCxnSpPr/>
      </xdr:nvCxnSpPr>
      <xdr:spPr>
        <a:xfrm>
          <a:off x="2802194" y="221227"/>
          <a:ext cx="0" cy="7251290"/>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1</xdr:col>
      <xdr:colOff>525230</xdr:colOff>
      <xdr:row>6</xdr:row>
      <xdr:rowOff>111019</xdr:rowOff>
    </xdr:from>
    <xdr:to>
      <xdr:col>4</xdr:col>
      <xdr:colOff>18724</xdr:colOff>
      <xdr:row>7</xdr:row>
      <xdr:rowOff>180496</xdr:rowOff>
    </xdr:to>
    <xdr:sp macro="" textlink="">
      <xdr:nvSpPr>
        <xdr:cNvPr id="3" name="TextBox 2">
          <a:extLst>
            <a:ext uri="{FF2B5EF4-FFF2-40B4-BE49-F238E27FC236}">
              <a16:creationId xmlns:a16="http://schemas.microsoft.com/office/drawing/2014/main" id="{328900F3-C963-4F35-B4E9-F231F96EBA9D}"/>
            </a:ext>
          </a:extLst>
        </xdr:cNvPr>
        <xdr:cNvSpPr txBox="1"/>
      </xdr:nvSpPr>
      <xdr:spPr>
        <a:xfrm>
          <a:off x="1139746" y="1217148"/>
          <a:ext cx="1337043" cy="253832"/>
        </a:xfrm>
        <a:prstGeom prst="rect">
          <a:avLst/>
        </a:prstGeom>
        <a:noFill/>
        <a:ln w="9525" cmpd="sng">
          <a:solidFill>
            <a:srgbClr val="0B5C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a:solidFill>
                <a:schemeClr val="bg1"/>
              </a:solidFill>
              <a:latin typeface="Berlin Sans FB" panose="020E0602020502020306" pitchFamily="34" charset="0"/>
            </a:rPr>
            <a:t>Total</a:t>
          </a:r>
          <a:r>
            <a:rPr lang="en-IN" sz="1800" b="0" baseline="0">
              <a:solidFill>
                <a:schemeClr val="bg1"/>
              </a:solidFill>
              <a:latin typeface="Berlin Sans FB" panose="020E0602020502020306" pitchFamily="34" charset="0"/>
            </a:rPr>
            <a:t> </a:t>
          </a:r>
          <a:r>
            <a:rPr lang="en-IN" sz="1600" b="0" baseline="0">
              <a:solidFill>
                <a:schemeClr val="bg1"/>
              </a:solidFill>
              <a:latin typeface="Berlin Sans FB" panose="020E0602020502020306" pitchFamily="34" charset="0"/>
            </a:rPr>
            <a:t>Orders</a:t>
          </a:r>
          <a:endParaRPr lang="en-IN" sz="1800" b="0">
            <a:solidFill>
              <a:schemeClr val="bg1"/>
            </a:solidFill>
            <a:latin typeface="Berlin Sans FB" panose="020E0602020502020306" pitchFamily="34" charset="0"/>
          </a:endParaRPr>
        </a:p>
      </xdr:txBody>
    </xdr:sp>
    <xdr:clientData/>
  </xdr:twoCellAnchor>
  <xdr:twoCellAnchor>
    <xdr:from>
      <xdr:col>1</xdr:col>
      <xdr:colOff>528483</xdr:colOff>
      <xdr:row>10</xdr:row>
      <xdr:rowOff>73742</xdr:rowOff>
    </xdr:from>
    <xdr:to>
      <xdr:col>4</xdr:col>
      <xdr:colOff>14723</xdr:colOff>
      <xdr:row>11</xdr:row>
      <xdr:rowOff>146242</xdr:rowOff>
    </xdr:to>
    <xdr:sp macro="" textlink="">
      <xdr:nvSpPr>
        <xdr:cNvPr id="28" name="TextBox 27">
          <a:extLst>
            <a:ext uri="{FF2B5EF4-FFF2-40B4-BE49-F238E27FC236}">
              <a16:creationId xmlns:a16="http://schemas.microsoft.com/office/drawing/2014/main" id="{8A91A7C3-3080-4C59-AD17-B85DF5754E65}"/>
            </a:ext>
          </a:extLst>
        </xdr:cNvPr>
        <xdr:cNvSpPr txBox="1"/>
      </xdr:nvSpPr>
      <xdr:spPr>
        <a:xfrm>
          <a:off x="1142999" y="1917290"/>
          <a:ext cx="1329789" cy="256855"/>
        </a:xfrm>
        <a:prstGeom prst="rect">
          <a:avLst/>
        </a:prstGeom>
        <a:noFill/>
        <a:ln w="9525" cmpd="sng">
          <a:solidFill>
            <a:srgbClr val="0B5C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baseline="0">
              <a:solidFill>
                <a:schemeClr val="bg1"/>
              </a:solidFill>
              <a:latin typeface="Berlin Sans FB" panose="020E0602020502020306" pitchFamily="34" charset="0"/>
            </a:rPr>
            <a:t> </a:t>
          </a:r>
          <a:r>
            <a:rPr lang="en-IN" sz="1600" b="0" baseline="0">
              <a:solidFill>
                <a:schemeClr val="bg1"/>
              </a:solidFill>
              <a:latin typeface="Berlin Sans FB" panose="020E0602020502020306" pitchFamily="34" charset="0"/>
            </a:rPr>
            <a:t>Delivered %</a:t>
          </a:r>
          <a:endParaRPr lang="en-IN" sz="1800" b="0">
            <a:solidFill>
              <a:schemeClr val="bg1"/>
            </a:solidFill>
            <a:latin typeface="Berlin Sans FB" panose="020E0602020502020306" pitchFamily="34" charset="0"/>
          </a:endParaRPr>
        </a:p>
      </xdr:txBody>
    </xdr:sp>
    <xdr:clientData/>
  </xdr:twoCellAnchor>
  <xdr:twoCellAnchor>
    <xdr:from>
      <xdr:col>1</xdr:col>
      <xdr:colOff>417871</xdr:colOff>
      <xdr:row>14</xdr:row>
      <xdr:rowOff>135193</xdr:rowOff>
    </xdr:from>
    <xdr:to>
      <xdr:col>4</xdr:col>
      <xdr:colOff>22306</xdr:colOff>
      <xdr:row>16</xdr:row>
      <xdr:rowOff>122390</xdr:rowOff>
    </xdr:to>
    <xdr:sp macro="" textlink="">
      <xdr:nvSpPr>
        <xdr:cNvPr id="36" name="TextBox 35">
          <a:extLst>
            <a:ext uri="{FF2B5EF4-FFF2-40B4-BE49-F238E27FC236}">
              <a16:creationId xmlns:a16="http://schemas.microsoft.com/office/drawing/2014/main" id="{6788B641-3C10-47BF-BE51-847A4A42E140}"/>
            </a:ext>
          </a:extLst>
        </xdr:cNvPr>
        <xdr:cNvSpPr txBox="1"/>
      </xdr:nvSpPr>
      <xdr:spPr>
        <a:xfrm>
          <a:off x="1032387" y="2716161"/>
          <a:ext cx="1447984" cy="355906"/>
        </a:xfrm>
        <a:prstGeom prst="rect">
          <a:avLst/>
        </a:prstGeom>
        <a:noFill/>
        <a:ln w="9525" cmpd="sng">
          <a:solidFill>
            <a:srgbClr val="0B5C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0">
              <a:solidFill>
                <a:schemeClr val="bg1"/>
              </a:solidFill>
              <a:latin typeface="Berlin Sans FB" panose="020E0602020502020306" pitchFamily="34" charset="0"/>
            </a:rPr>
            <a:t>Cancellation</a:t>
          </a:r>
          <a:r>
            <a:rPr lang="en-IN" sz="1400" b="0">
              <a:solidFill>
                <a:schemeClr val="bg1"/>
              </a:solidFill>
              <a:latin typeface="Berlin Sans FB" panose="020E0602020502020306" pitchFamily="34" charset="0"/>
            </a:rPr>
            <a:t> </a:t>
          </a:r>
          <a:r>
            <a:rPr lang="en-IN" sz="1600" b="0">
              <a:solidFill>
                <a:schemeClr val="bg1"/>
              </a:solidFill>
              <a:latin typeface="Berlin Sans FB" panose="020E0602020502020306" pitchFamily="34" charset="0"/>
            </a:rPr>
            <a:t>%</a:t>
          </a:r>
          <a:endParaRPr lang="en-IN" sz="1400" b="0">
            <a:solidFill>
              <a:schemeClr val="bg1"/>
            </a:solidFill>
            <a:latin typeface="Berlin Sans FB" panose="020E0602020502020306" pitchFamily="34" charset="0"/>
          </a:endParaRPr>
        </a:p>
      </xdr:txBody>
    </xdr:sp>
    <xdr:clientData/>
  </xdr:twoCellAnchor>
  <xdr:twoCellAnchor>
    <xdr:from>
      <xdr:col>2</xdr:col>
      <xdr:colOff>251908</xdr:colOff>
      <xdr:row>12</xdr:row>
      <xdr:rowOff>12140</xdr:rowOff>
    </xdr:from>
    <xdr:to>
      <xdr:col>3</xdr:col>
      <xdr:colOff>324442</xdr:colOff>
      <xdr:row>13</xdr:row>
      <xdr:rowOff>102606</xdr:rowOff>
    </xdr:to>
    <xdr:sp macro="" textlink="Pivot_Charts!B114">
      <xdr:nvSpPr>
        <xdr:cNvPr id="38" name="Rectangle 37">
          <a:extLst>
            <a:ext uri="{FF2B5EF4-FFF2-40B4-BE49-F238E27FC236}">
              <a16:creationId xmlns:a16="http://schemas.microsoft.com/office/drawing/2014/main" id="{65E95165-A92B-47AE-8DA2-838AF727CD09}"/>
            </a:ext>
          </a:extLst>
        </xdr:cNvPr>
        <xdr:cNvSpPr/>
      </xdr:nvSpPr>
      <xdr:spPr>
        <a:xfrm>
          <a:off x="1480940" y="2224398"/>
          <a:ext cx="687050" cy="274821"/>
        </a:xfrm>
        <a:prstGeom prst="rect">
          <a:avLst/>
        </a:prstGeom>
        <a:noFill/>
        <a:ln>
          <a:solidFill>
            <a:srgbClr val="0B5C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02C1E711-3BF0-4047-861D-80853FA0CACF}" type="TxLink">
            <a:rPr lang="en-US" sz="1100" b="0" i="0" u="none" strike="noStrike">
              <a:solidFill>
                <a:schemeClr val="bg1"/>
              </a:solidFill>
              <a:latin typeface="Calibri"/>
              <a:ea typeface="Calibri"/>
              <a:cs typeface="Calibri"/>
            </a:rPr>
            <a:pPr algn="ctr"/>
            <a:t>70.80%</a:t>
          </a:fld>
          <a:endParaRPr lang="en-IN" sz="1100">
            <a:solidFill>
              <a:schemeClr val="bg1"/>
            </a:solidFill>
          </a:endParaRPr>
        </a:p>
      </xdr:txBody>
    </xdr:sp>
    <xdr:clientData/>
  </xdr:twoCellAnchor>
  <xdr:twoCellAnchor>
    <xdr:from>
      <xdr:col>2</xdr:col>
      <xdr:colOff>223930</xdr:colOff>
      <xdr:row>16</xdr:row>
      <xdr:rowOff>1758</xdr:rowOff>
    </xdr:from>
    <xdr:to>
      <xdr:col>3</xdr:col>
      <xdr:colOff>296464</xdr:colOff>
      <xdr:row>17</xdr:row>
      <xdr:rowOff>92224</xdr:rowOff>
    </xdr:to>
    <xdr:sp macro="" textlink="Pivot_Charts!B113">
      <xdr:nvSpPr>
        <xdr:cNvPr id="39" name="Rectangle 38">
          <a:extLst>
            <a:ext uri="{FF2B5EF4-FFF2-40B4-BE49-F238E27FC236}">
              <a16:creationId xmlns:a16="http://schemas.microsoft.com/office/drawing/2014/main" id="{3DA8D984-6443-43C4-BCA6-3FF422FEE302}"/>
            </a:ext>
          </a:extLst>
        </xdr:cNvPr>
        <xdr:cNvSpPr/>
      </xdr:nvSpPr>
      <xdr:spPr>
        <a:xfrm>
          <a:off x="1452962" y="2951435"/>
          <a:ext cx="687050" cy="274821"/>
        </a:xfrm>
        <a:prstGeom prst="rect">
          <a:avLst/>
        </a:prstGeom>
        <a:noFill/>
        <a:ln>
          <a:solidFill>
            <a:srgbClr val="0B5C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146749CB-9BD6-4824-9919-D6088A145FFE}" type="TxLink">
            <a:rPr lang="en-US" sz="1100" b="0" i="0" u="none" strike="noStrike">
              <a:solidFill>
                <a:schemeClr val="bg1"/>
              </a:solidFill>
              <a:latin typeface="Calibri"/>
              <a:ea typeface="Calibri"/>
              <a:cs typeface="Calibri"/>
            </a:rPr>
            <a:pPr algn="ctr"/>
            <a:t>10.00%</a:t>
          </a:fld>
          <a:endParaRPr lang="en-IN" sz="1100">
            <a:solidFill>
              <a:schemeClr val="bg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Belgaum_Data.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VESH" refreshedDate="46020.721776851853" createdVersion="8" refreshedVersion="8" minRefreshableVersion="3" recordCount="500" xr:uid="{22105966-5342-4195-AB91-6EC6722599B3}">
  <cacheSource type="worksheet">
    <worksheetSource name="tblBelgaumOrders"/>
  </cacheSource>
  <cacheFields count="14">
    <cacheField name="Order_ID" numFmtId="0">
      <sharedItems/>
    </cacheField>
    <cacheField name="Order_Date" numFmtId="164">
      <sharedItems containsSemiMixedTypes="0" containsNonDate="0" containsDate="1" containsString="0" minDate="2025-01-01T00:00:00" maxDate="2025-12-16T00:00:00" count="260">
        <d v="2025-11-24T00:00:00"/>
        <d v="2025-08-05T00:00:00"/>
        <d v="2025-08-18T00:00:00"/>
        <d v="2025-06-22T00:00:00"/>
        <d v="2025-07-13T00:00:00"/>
        <d v="2025-04-27T00:00:00"/>
        <d v="2025-12-10T00:00:00"/>
        <d v="2025-07-14T00:00:00"/>
        <d v="2025-06-11T00:00:00"/>
        <d v="2025-11-26T00:00:00"/>
        <d v="2025-07-24T00:00:00"/>
        <d v="2025-11-02T00:00:00"/>
        <d v="2025-02-28T00:00:00"/>
        <d v="2025-05-15T00:00:00"/>
        <d v="2025-03-20T00:00:00"/>
        <d v="2025-02-27T00:00:00"/>
        <d v="2025-09-06T00:00:00"/>
        <d v="2025-03-03T00:00:00"/>
        <d v="2025-01-17T00:00:00"/>
        <d v="2025-05-05T00:00:00"/>
        <d v="2025-01-28T00:00:00"/>
        <d v="2025-11-30T00:00:00"/>
        <d v="2025-01-31T00:00:00"/>
        <d v="2025-10-12T00:00:00"/>
        <d v="2025-10-27T00:00:00"/>
        <d v="2025-02-04T00:00:00"/>
        <d v="2025-09-25T00:00:00"/>
        <d v="2025-02-07T00:00:00"/>
        <d v="2025-02-05T00:00:00"/>
        <d v="2025-10-11T00:00:00"/>
        <d v="2025-06-25T00:00:00"/>
        <d v="2025-01-05T00:00:00"/>
        <d v="2025-08-09T00:00:00"/>
        <d v="2025-07-01T00:00:00"/>
        <d v="2025-04-01T00:00:00"/>
        <d v="2025-02-25T00:00:00"/>
        <d v="2025-09-18T00:00:00"/>
        <d v="2025-05-16T00:00:00"/>
        <d v="2025-10-23T00:00:00"/>
        <d v="2025-06-01T00:00:00"/>
        <d v="2025-07-27T00:00:00"/>
        <d v="2025-08-15T00:00:00"/>
        <d v="2025-11-21T00:00:00"/>
        <d v="2025-11-09T00:00:00"/>
        <d v="2025-12-02T00:00:00"/>
        <d v="2025-10-13T00:00:00"/>
        <d v="2025-11-10T00:00:00"/>
        <d v="2025-05-07T00:00:00"/>
        <d v="2025-06-21T00:00:00"/>
        <d v="2025-07-28T00:00:00"/>
        <d v="2025-01-11T00:00:00"/>
        <d v="2025-11-05T00:00:00"/>
        <d v="2025-08-28T00:00:00"/>
        <d v="2025-08-25T00:00:00"/>
        <d v="2025-08-04T00:00:00"/>
        <d v="2025-08-27T00:00:00"/>
        <d v="2025-11-18T00:00:00"/>
        <d v="2025-06-27T00:00:00"/>
        <d v="2025-11-22T00:00:00"/>
        <d v="2025-05-13T00:00:00"/>
        <d v="2025-04-24T00:00:00"/>
        <d v="2025-10-09T00:00:00"/>
        <d v="2025-10-02T00:00:00"/>
        <d v="2025-02-21T00:00:00"/>
        <d v="2025-03-06T00:00:00"/>
        <d v="2025-09-02T00:00:00"/>
        <d v="2025-06-05T00:00:00"/>
        <d v="2025-11-17T00:00:00"/>
        <d v="2025-06-07T00:00:00"/>
        <d v="2025-02-11T00:00:00"/>
        <d v="2025-06-18T00:00:00"/>
        <d v="2025-05-10T00:00:00"/>
        <d v="2025-05-28T00:00:00"/>
        <d v="2025-01-08T00:00:00"/>
        <d v="2025-05-30T00:00:00"/>
        <d v="2025-11-03T00:00:00"/>
        <d v="2025-09-17T00:00:00"/>
        <d v="2025-08-17T00:00:00"/>
        <d v="2025-04-30T00:00:00"/>
        <d v="2025-01-19T00:00:00"/>
        <d v="2025-07-23T00:00:00"/>
        <d v="2025-03-16T00:00:00"/>
        <d v="2025-05-04T00:00:00"/>
        <d v="2025-08-22T00:00:00"/>
        <d v="2025-01-12T00:00:00"/>
        <d v="2025-05-27T00:00:00"/>
        <d v="2025-11-27T00:00:00"/>
        <d v="2025-08-01T00:00:00"/>
        <d v="2025-05-12T00:00:00"/>
        <d v="2025-12-13T00:00:00"/>
        <d v="2025-12-11T00:00:00"/>
        <d v="2025-10-15T00:00:00"/>
        <d v="2025-01-24T00:00:00"/>
        <d v="2025-10-04T00:00:00"/>
        <d v="2025-05-24T00:00:00"/>
        <d v="2025-11-25T00:00:00"/>
        <d v="2025-03-31T00:00:00"/>
        <d v="2025-01-16T00:00:00"/>
        <d v="2025-11-08T00:00:00"/>
        <d v="2025-08-21T00:00:00"/>
        <d v="2025-04-21T00:00:00"/>
        <d v="2025-06-10T00:00:00"/>
        <d v="2025-07-10T00:00:00"/>
        <d v="2025-06-29T00:00:00"/>
        <d v="2025-09-29T00:00:00"/>
        <d v="2025-01-27T00:00:00"/>
        <d v="2025-12-08T00:00:00"/>
        <d v="2025-05-29T00:00:00"/>
        <d v="2025-12-09T00:00:00"/>
        <d v="2025-10-21T00:00:00"/>
        <d v="2025-07-05T00:00:00"/>
        <d v="2025-06-14T00:00:00"/>
        <d v="2025-08-13T00:00:00"/>
        <d v="2025-06-20T00:00:00"/>
        <d v="2025-02-13T00:00:00"/>
        <d v="2025-03-12T00:00:00"/>
        <d v="2025-01-23T00:00:00"/>
        <d v="2025-05-03T00:00:00"/>
        <d v="2025-07-15T00:00:00"/>
        <d v="2025-03-17T00:00:00"/>
        <d v="2025-09-15T00:00:00"/>
        <d v="2025-08-30T00:00:00"/>
        <d v="2025-10-08T00:00:00"/>
        <d v="2025-02-26T00:00:00"/>
        <d v="2025-06-30T00:00:00"/>
        <d v="2025-10-07T00:00:00"/>
        <d v="2025-02-02T00:00:00"/>
        <d v="2025-10-06T00:00:00"/>
        <d v="2025-07-08T00:00:00"/>
        <d v="2025-01-22T00:00:00"/>
        <d v="2025-12-14T00:00:00"/>
        <d v="2025-03-11T00:00:00"/>
        <d v="2025-02-03T00:00:00"/>
        <d v="2025-07-29T00:00:00"/>
        <d v="2025-10-10T00:00:00"/>
        <d v="2025-03-26T00:00:00"/>
        <d v="2025-06-04T00:00:00"/>
        <d v="2025-09-05T00:00:00"/>
        <d v="2025-03-08T00:00:00"/>
        <d v="2025-04-08T00:00:00"/>
        <d v="2025-03-02T00:00:00"/>
        <d v="2025-06-13T00:00:00"/>
        <d v="2025-10-16T00:00:00"/>
        <d v="2025-11-19T00:00:00"/>
        <d v="2025-10-26T00:00:00"/>
        <d v="2025-02-01T00:00:00"/>
        <d v="2025-09-30T00:00:00"/>
        <d v="2025-04-09T00:00:00"/>
        <d v="2025-09-08T00:00:00"/>
        <d v="2025-10-28T00:00:00"/>
        <d v="2025-04-13T00:00:00"/>
        <d v="2025-01-20T00:00:00"/>
        <d v="2025-03-10T00:00:00"/>
        <d v="2025-09-21T00:00:00"/>
        <d v="2025-07-16T00:00:00"/>
        <d v="2025-05-01T00:00:00"/>
        <d v="2025-04-14T00:00:00"/>
        <d v="2025-07-22T00:00:00"/>
        <d v="2025-10-03T00:00:00"/>
        <d v="2025-12-05T00:00:00"/>
        <d v="2025-03-15T00:00:00"/>
        <d v="2025-08-07T00:00:00"/>
        <d v="2025-06-03T00:00:00"/>
        <d v="2025-01-30T00:00:00"/>
        <d v="2025-08-19T00:00:00"/>
        <d v="2025-09-12T00:00:00"/>
        <d v="2025-10-19T00:00:00"/>
        <d v="2025-02-08T00:00:00"/>
        <d v="2025-04-02T00:00:00"/>
        <d v="2025-07-11T00:00:00"/>
        <d v="2025-11-29T00:00:00"/>
        <d v="2025-10-18T00:00:00"/>
        <d v="2025-06-17T00:00:00"/>
        <d v="2025-12-15T00:00:00"/>
        <d v="2025-02-22T00:00:00"/>
        <d v="2025-02-17T00:00:00"/>
        <d v="2025-01-04T00:00:00"/>
        <d v="2025-04-03T00:00:00"/>
        <d v="2025-07-04T00:00:00"/>
        <d v="2025-10-22T00:00:00"/>
        <d v="2025-04-12T00:00:00"/>
        <d v="2025-04-10T00:00:00"/>
        <d v="2025-08-06T00:00:00"/>
        <d v="2025-02-14T00:00:00"/>
        <d v="2025-02-18T00:00:00"/>
        <d v="2025-07-12T00:00:00"/>
        <d v="2025-09-07T00:00:00"/>
        <d v="2025-10-01T00:00:00"/>
        <d v="2025-03-22T00:00:00"/>
        <d v="2025-05-21T00:00:00"/>
        <d v="2025-08-16T00:00:00"/>
        <d v="2025-03-19T00:00:00"/>
        <d v="2025-12-04T00:00:00"/>
        <d v="2025-03-21T00:00:00"/>
        <d v="2025-05-18T00:00:00"/>
        <d v="2025-12-12T00:00:00"/>
        <d v="2025-03-18T00:00:00"/>
        <d v="2025-04-11T00:00:00"/>
        <d v="2025-08-03T00:00:00"/>
        <d v="2025-12-06T00:00:00"/>
        <d v="2025-05-20T00:00:00"/>
        <d v="2025-03-13T00:00:00"/>
        <d v="2025-05-06T00:00:00"/>
        <d v="2025-09-27T00:00:00"/>
        <d v="2025-12-03T00:00:00"/>
        <d v="2025-07-18T00:00:00"/>
        <d v="2025-03-14T00:00:00"/>
        <d v="2025-04-25T00:00:00"/>
        <d v="2025-01-25T00:00:00"/>
        <d v="2025-07-21T00:00:00"/>
        <d v="2025-02-19T00:00:00"/>
        <d v="2025-08-14T00:00:00"/>
        <d v="2025-06-26T00:00:00"/>
        <d v="2025-09-22T00:00:00"/>
        <d v="2025-08-31T00:00:00"/>
        <d v="2025-06-19T00:00:00"/>
        <d v="2025-09-09T00:00:00"/>
        <d v="2025-08-26T00:00:00"/>
        <d v="2025-01-26T00:00:00"/>
        <d v="2025-06-28T00:00:00"/>
        <d v="2025-10-25T00:00:00"/>
        <d v="2025-03-23T00:00:00"/>
        <d v="2025-06-06T00:00:00"/>
        <d v="2025-03-09T00:00:00"/>
        <d v="2025-03-01T00:00:00"/>
        <d v="2025-11-13T00:00:00"/>
        <d v="2025-07-03T00:00:00"/>
        <d v="2025-01-07T00:00:00"/>
        <d v="2025-03-29T00:00:00"/>
        <d v="2025-07-25T00:00:00"/>
        <d v="2025-07-30T00:00:00"/>
        <d v="2025-08-29T00:00:00"/>
        <d v="2025-09-10T00:00:00"/>
        <d v="2025-11-07T00:00:00"/>
        <d v="2025-05-31T00:00:00"/>
        <d v="2025-11-23T00:00:00"/>
        <d v="2025-10-05T00:00:00"/>
        <d v="2025-05-11T00:00:00"/>
        <d v="2025-09-24T00:00:00"/>
        <d v="2025-01-13T00:00:00"/>
        <d v="2025-03-27T00:00:00"/>
        <d v="2025-04-16T00:00:00"/>
        <d v="2025-01-06T00:00:00"/>
        <d v="2025-04-05T00:00:00"/>
        <d v="2025-01-21T00:00:00"/>
        <d v="2025-09-19T00:00:00"/>
        <d v="2025-11-11T00:00:00"/>
        <d v="2025-01-01T00:00:00"/>
        <d v="2025-10-29T00:00:00"/>
        <d v="2025-07-07T00:00:00"/>
        <d v="2025-03-24T00:00:00"/>
        <d v="2025-02-10T00:00:00"/>
        <d v="2025-05-22T00:00:00"/>
        <d v="2025-10-14T00:00:00"/>
        <d v="2025-05-14T00:00:00"/>
        <d v="2025-01-15T00:00:00"/>
        <d v="2025-07-31T00:00:00"/>
        <d v="2025-02-24T00:00:00"/>
        <d v="2025-04-18T00:00:00"/>
        <d v="2025-11-06T00:00:00"/>
      </sharedItems>
      <fieldGroup par="13"/>
    </cacheField>
    <cacheField name="Month" numFmtId="164">
      <sharedItems/>
    </cacheField>
    <cacheField name="Locality" numFmtId="0">
      <sharedItems count="18">
        <s v="Hindwadi"/>
        <s v="Shahapur"/>
        <s v="Hanuman Nagar"/>
        <s v="Vadgaon"/>
        <s v="Nehru Nagar"/>
        <s v="Gandhi Nagar"/>
        <s v="Malmaruti"/>
        <s v="Fort Road"/>
        <s v="Ashok Nagar"/>
        <s v="Bogarves"/>
        <s v="Udyambag"/>
        <s v="Khasbag"/>
        <s v="Raviwar Peth"/>
        <s v="Nanawadi"/>
        <s v="Camp"/>
        <s v="Tilakwadi"/>
        <s v="Angol"/>
        <s v="Shivabasava Nagar"/>
      </sharedItems>
    </cacheField>
    <cacheField name="Customer_Segment" numFmtId="0">
      <sharedItems count="3">
        <s v="Retail"/>
        <s v="Wholesale"/>
        <s v="Corporate"/>
      </sharedItems>
    </cacheField>
    <cacheField name="Product_Category" numFmtId="0">
      <sharedItems count="10">
        <s v="Pharmacy"/>
        <s v="Grocery"/>
        <s v="Dairy"/>
        <s v="Hardware"/>
        <s v="Home Appliances"/>
        <s v="Restaurant"/>
        <s v="Stationery"/>
        <s v="Electronics"/>
        <s v="Mobile Accessories"/>
        <s v="Apparel"/>
      </sharedItems>
    </cacheField>
    <cacheField name="Order_Status" numFmtId="0">
      <sharedItems count="4">
        <s v="Delivered"/>
        <s v="Pending"/>
        <s v="Cancelled"/>
        <s v="Returned"/>
      </sharedItems>
    </cacheField>
    <cacheField name="Sales_Channel" numFmtId="0">
      <sharedItems count="3">
        <s v="Online"/>
        <s v="In-Store"/>
        <s v="Phone"/>
      </sharedItems>
    </cacheField>
    <cacheField name="Payment_Mode" numFmtId="0">
      <sharedItems count="5">
        <s v="Cash"/>
        <s v="UPI"/>
        <s v="Card"/>
        <s v="NetBanking"/>
        <s v="Wallet"/>
      </sharedItems>
    </cacheField>
    <cacheField name="Quantity" numFmtId="0">
      <sharedItems containsSemiMixedTypes="0" containsString="0" containsNumber="1" containsInteger="1" minValue="1" maxValue="25" count="25">
        <n v="9"/>
        <n v="10"/>
        <n v="8"/>
        <n v="2"/>
        <n v="14"/>
        <n v="13"/>
        <n v="4"/>
        <n v="7"/>
        <n v="1"/>
        <n v="6"/>
        <n v="22"/>
        <n v="16"/>
        <n v="20"/>
        <n v="21"/>
        <n v="3"/>
        <n v="12"/>
        <n v="5"/>
        <n v="11"/>
        <n v="15"/>
        <n v="19"/>
        <n v="23"/>
        <n v="24"/>
        <n v="17"/>
        <n v="18"/>
        <n v="25"/>
      </sharedItems>
    </cacheField>
    <cacheField name="Order_Amount" numFmtId="4">
      <sharedItems containsSemiMixedTypes="0" containsString="0" containsNumber="1" minValue="0" maxValue="74173.240000000005"/>
    </cacheField>
    <cacheField name="Total Sales" numFmtId="4">
      <sharedItems containsSemiMixedTypes="0" containsString="0" containsNumber="1" minValue="0" maxValue="1483464.8"/>
    </cacheField>
    <cacheField name="Days (Order_Date)" numFmtId="0" databaseField="0">
      <fieldGroup base="1">
        <rangePr groupBy="days" startDate="2025-01-01T00:00:00" endDate="2025-12-16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6-12-2025"/>
        </groupItems>
      </fieldGroup>
    </cacheField>
    <cacheField name="Months (Order_Date)" numFmtId="0" databaseField="0">
      <fieldGroup base="1">
        <rangePr groupBy="months" startDate="2025-01-01T00:00:00" endDate="2025-12-16T00:00:00"/>
        <groupItems count="14">
          <s v="&lt;01-01-2025"/>
          <s v="Jan"/>
          <s v="Feb"/>
          <s v="Mar"/>
          <s v="Apr"/>
          <s v="May"/>
          <s v="Jun"/>
          <s v="Jul"/>
          <s v="Aug"/>
          <s v="Sep"/>
          <s v="Oct"/>
          <s v="Nov"/>
          <s v="Dec"/>
          <s v="&gt;16-12-2025"/>
        </groupItems>
      </fieldGroup>
    </cacheField>
  </cacheFields>
  <extLst>
    <ext xmlns:x14="http://schemas.microsoft.com/office/spreadsheetml/2009/9/main" uri="{725AE2AE-9491-48be-B2B4-4EB974FC3084}">
      <x14:pivotCacheDefinition pivotCacheId="16945180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VESH" refreshedDate="46015.554701620371" createdVersion="8" refreshedVersion="8" minRefreshableVersion="3" recordCount="500" xr:uid="{438187F3-FEF6-44A4-8F51-2A7E8B7C6CB4}">
  <cacheSource type="worksheet">
    <worksheetSource name="tblBelgaumOrders" r:id="rId2"/>
  </cacheSource>
  <cacheFields count="10">
    <cacheField name="Order_ID" numFmtId="0">
      <sharedItems/>
    </cacheField>
    <cacheField name="Order_Date" numFmtId="164">
      <sharedItems containsSemiMixedTypes="0" containsNonDate="0" containsDate="1" containsString="0" minDate="2025-01-01T00:00:00" maxDate="2025-12-16T00:00:00" count="260">
        <d v="2025-11-24T00:00:00"/>
        <d v="2025-08-05T00:00:00"/>
        <d v="2025-08-18T00:00:00"/>
        <d v="2025-06-22T00:00:00"/>
        <d v="2025-07-13T00:00:00"/>
        <d v="2025-04-27T00:00:00"/>
        <d v="2025-12-10T00:00:00"/>
        <d v="2025-07-14T00:00:00"/>
        <d v="2025-06-11T00:00:00"/>
        <d v="2025-11-26T00:00:00"/>
        <d v="2025-07-24T00:00:00"/>
        <d v="2025-11-02T00:00:00"/>
        <d v="2025-02-28T00:00:00"/>
        <d v="2025-05-15T00:00:00"/>
        <d v="2025-03-20T00:00:00"/>
        <d v="2025-02-27T00:00:00"/>
        <d v="2025-09-06T00:00:00"/>
        <d v="2025-03-03T00:00:00"/>
        <d v="2025-01-17T00:00:00"/>
        <d v="2025-05-05T00:00:00"/>
        <d v="2025-01-28T00:00:00"/>
        <d v="2025-11-30T00:00:00"/>
        <d v="2025-01-31T00:00:00"/>
        <d v="2025-10-12T00:00:00"/>
        <d v="2025-10-27T00:00:00"/>
        <d v="2025-02-04T00:00:00"/>
        <d v="2025-09-25T00:00:00"/>
        <d v="2025-02-07T00:00:00"/>
        <d v="2025-02-05T00:00:00"/>
        <d v="2025-10-11T00:00:00"/>
        <d v="2025-06-25T00:00:00"/>
        <d v="2025-01-05T00:00:00"/>
        <d v="2025-08-09T00:00:00"/>
        <d v="2025-07-01T00:00:00"/>
        <d v="2025-04-01T00:00:00"/>
        <d v="2025-02-25T00:00:00"/>
        <d v="2025-09-18T00:00:00"/>
        <d v="2025-05-16T00:00:00"/>
        <d v="2025-10-23T00:00:00"/>
        <d v="2025-06-01T00:00:00"/>
        <d v="2025-07-27T00:00:00"/>
        <d v="2025-08-15T00:00:00"/>
        <d v="2025-11-21T00:00:00"/>
        <d v="2025-11-09T00:00:00"/>
        <d v="2025-12-02T00:00:00"/>
        <d v="2025-10-13T00:00:00"/>
        <d v="2025-11-10T00:00:00"/>
        <d v="2025-05-07T00:00:00"/>
        <d v="2025-06-21T00:00:00"/>
        <d v="2025-07-28T00:00:00"/>
        <d v="2025-01-11T00:00:00"/>
        <d v="2025-11-05T00:00:00"/>
        <d v="2025-08-28T00:00:00"/>
        <d v="2025-08-25T00:00:00"/>
        <d v="2025-08-04T00:00:00"/>
        <d v="2025-08-27T00:00:00"/>
        <d v="2025-11-18T00:00:00"/>
        <d v="2025-06-27T00:00:00"/>
        <d v="2025-11-22T00:00:00"/>
        <d v="2025-05-13T00:00:00"/>
        <d v="2025-04-24T00:00:00"/>
        <d v="2025-10-09T00:00:00"/>
        <d v="2025-10-02T00:00:00"/>
        <d v="2025-02-21T00:00:00"/>
        <d v="2025-03-06T00:00:00"/>
        <d v="2025-09-02T00:00:00"/>
        <d v="2025-06-05T00:00:00"/>
        <d v="2025-11-17T00:00:00"/>
        <d v="2025-06-07T00:00:00"/>
        <d v="2025-02-11T00:00:00"/>
        <d v="2025-06-18T00:00:00"/>
        <d v="2025-05-10T00:00:00"/>
        <d v="2025-05-28T00:00:00"/>
        <d v="2025-01-08T00:00:00"/>
        <d v="2025-05-30T00:00:00"/>
        <d v="2025-11-03T00:00:00"/>
        <d v="2025-09-17T00:00:00"/>
        <d v="2025-08-17T00:00:00"/>
        <d v="2025-04-30T00:00:00"/>
        <d v="2025-01-19T00:00:00"/>
        <d v="2025-07-23T00:00:00"/>
        <d v="2025-03-16T00:00:00"/>
        <d v="2025-05-04T00:00:00"/>
        <d v="2025-08-22T00:00:00"/>
        <d v="2025-01-12T00:00:00"/>
        <d v="2025-05-27T00:00:00"/>
        <d v="2025-11-27T00:00:00"/>
        <d v="2025-08-01T00:00:00"/>
        <d v="2025-05-12T00:00:00"/>
        <d v="2025-12-13T00:00:00"/>
        <d v="2025-12-11T00:00:00"/>
        <d v="2025-10-15T00:00:00"/>
        <d v="2025-01-24T00:00:00"/>
        <d v="2025-10-04T00:00:00"/>
        <d v="2025-05-24T00:00:00"/>
        <d v="2025-11-25T00:00:00"/>
        <d v="2025-03-31T00:00:00"/>
        <d v="2025-01-16T00:00:00"/>
        <d v="2025-11-08T00:00:00"/>
        <d v="2025-08-21T00:00:00"/>
        <d v="2025-04-21T00:00:00"/>
        <d v="2025-06-10T00:00:00"/>
        <d v="2025-07-10T00:00:00"/>
        <d v="2025-06-29T00:00:00"/>
        <d v="2025-09-29T00:00:00"/>
        <d v="2025-01-27T00:00:00"/>
        <d v="2025-12-08T00:00:00"/>
        <d v="2025-05-29T00:00:00"/>
        <d v="2025-12-09T00:00:00"/>
        <d v="2025-10-21T00:00:00"/>
        <d v="2025-07-05T00:00:00"/>
        <d v="2025-06-14T00:00:00"/>
        <d v="2025-08-13T00:00:00"/>
        <d v="2025-06-20T00:00:00"/>
        <d v="2025-02-13T00:00:00"/>
        <d v="2025-03-12T00:00:00"/>
        <d v="2025-01-23T00:00:00"/>
        <d v="2025-05-03T00:00:00"/>
        <d v="2025-07-15T00:00:00"/>
        <d v="2025-03-17T00:00:00"/>
        <d v="2025-09-15T00:00:00"/>
        <d v="2025-08-30T00:00:00"/>
        <d v="2025-10-08T00:00:00"/>
        <d v="2025-02-26T00:00:00"/>
        <d v="2025-06-30T00:00:00"/>
        <d v="2025-10-07T00:00:00"/>
        <d v="2025-02-02T00:00:00"/>
        <d v="2025-10-06T00:00:00"/>
        <d v="2025-07-08T00:00:00"/>
        <d v="2025-01-22T00:00:00"/>
        <d v="2025-12-14T00:00:00"/>
        <d v="2025-03-11T00:00:00"/>
        <d v="2025-02-03T00:00:00"/>
        <d v="2025-07-29T00:00:00"/>
        <d v="2025-10-10T00:00:00"/>
        <d v="2025-03-26T00:00:00"/>
        <d v="2025-06-04T00:00:00"/>
        <d v="2025-09-05T00:00:00"/>
        <d v="2025-03-08T00:00:00"/>
        <d v="2025-04-08T00:00:00"/>
        <d v="2025-03-02T00:00:00"/>
        <d v="2025-06-13T00:00:00"/>
        <d v="2025-10-16T00:00:00"/>
        <d v="2025-11-19T00:00:00"/>
        <d v="2025-10-26T00:00:00"/>
        <d v="2025-02-01T00:00:00"/>
        <d v="2025-09-30T00:00:00"/>
        <d v="2025-04-09T00:00:00"/>
        <d v="2025-09-08T00:00:00"/>
        <d v="2025-10-28T00:00:00"/>
        <d v="2025-04-13T00:00:00"/>
        <d v="2025-01-20T00:00:00"/>
        <d v="2025-03-10T00:00:00"/>
        <d v="2025-09-21T00:00:00"/>
        <d v="2025-07-16T00:00:00"/>
        <d v="2025-05-01T00:00:00"/>
        <d v="2025-04-14T00:00:00"/>
        <d v="2025-07-22T00:00:00"/>
        <d v="2025-10-03T00:00:00"/>
        <d v="2025-12-05T00:00:00"/>
        <d v="2025-03-15T00:00:00"/>
        <d v="2025-08-07T00:00:00"/>
        <d v="2025-06-03T00:00:00"/>
        <d v="2025-01-30T00:00:00"/>
        <d v="2025-08-19T00:00:00"/>
        <d v="2025-09-12T00:00:00"/>
        <d v="2025-10-19T00:00:00"/>
        <d v="2025-02-08T00:00:00"/>
        <d v="2025-04-02T00:00:00"/>
        <d v="2025-07-11T00:00:00"/>
        <d v="2025-11-29T00:00:00"/>
        <d v="2025-10-18T00:00:00"/>
        <d v="2025-06-17T00:00:00"/>
        <d v="2025-12-15T00:00:00"/>
        <d v="2025-02-22T00:00:00"/>
        <d v="2025-02-17T00:00:00"/>
        <d v="2025-01-04T00:00:00"/>
        <d v="2025-04-03T00:00:00"/>
        <d v="2025-07-04T00:00:00"/>
        <d v="2025-10-22T00:00:00"/>
        <d v="2025-04-12T00:00:00"/>
        <d v="2025-04-10T00:00:00"/>
        <d v="2025-08-06T00:00:00"/>
        <d v="2025-02-14T00:00:00"/>
        <d v="2025-02-18T00:00:00"/>
        <d v="2025-07-12T00:00:00"/>
        <d v="2025-09-07T00:00:00"/>
        <d v="2025-10-01T00:00:00"/>
        <d v="2025-03-22T00:00:00"/>
        <d v="2025-05-21T00:00:00"/>
        <d v="2025-08-16T00:00:00"/>
        <d v="2025-03-19T00:00:00"/>
        <d v="2025-12-04T00:00:00"/>
        <d v="2025-03-21T00:00:00"/>
        <d v="2025-05-18T00:00:00"/>
        <d v="2025-12-12T00:00:00"/>
        <d v="2025-03-18T00:00:00"/>
        <d v="2025-04-11T00:00:00"/>
        <d v="2025-08-03T00:00:00"/>
        <d v="2025-12-06T00:00:00"/>
        <d v="2025-05-20T00:00:00"/>
        <d v="2025-03-13T00:00:00"/>
        <d v="2025-05-06T00:00:00"/>
        <d v="2025-09-27T00:00:00"/>
        <d v="2025-12-03T00:00:00"/>
        <d v="2025-07-18T00:00:00"/>
        <d v="2025-03-14T00:00:00"/>
        <d v="2025-04-25T00:00:00"/>
        <d v="2025-01-25T00:00:00"/>
        <d v="2025-07-21T00:00:00"/>
        <d v="2025-02-19T00:00:00"/>
        <d v="2025-08-14T00:00:00"/>
        <d v="2025-06-26T00:00:00"/>
        <d v="2025-09-22T00:00:00"/>
        <d v="2025-08-31T00:00:00"/>
        <d v="2025-06-19T00:00:00"/>
        <d v="2025-09-09T00:00:00"/>
        <d v="2025-08-26T00:00:00"/>
        <d v="2025-01-26T00:00:00"/>
        <d v="2025-06-28T00:00:00"/>
        <d v="2025-10-25T00:00:00"/>
        <d v="2025-03-23T00:00:00"/>
        <d v="2025-06-06T00:00:00"/>
        <d v="2025-03-09T00:00:00"/>
        <d v="2025-03-01T00:00:00"/>
        <d v="2025-11-13T00:00:00"/>
        <d v="2025-07-03T00:00:00"/>
        <d v="2025-01-07T00:00:00"/>
        <d v="2025-03-29T00:00:00"/>
        <d v="2025-07-25T00:00:00"/>
        <d v="2025-07-30T00:00:00"/>
        <d v="2025-08-29T00:00:00"/>
        <d v="2025-09-10T00:00:00"/>
        <d v="2025-11-07T00:00:00"/>
        <d v="2025-05-31T00:00:00"/>
        <d v="2025-11-23T00:00:00"/>
        <d v="2025-10-05T00:00:00"/>
        <d v="2025-05-11T00:00:00"/>
        <d v="2025-09-24T00:00:00"/>
        <d v="2025-01-13T00:00:00"/>
        <d v="2025-03-27T00:00:00"/>
        <d v="2025-04-16T00:00:00"/>
        <d v="2025-01-06T00:00:00"/>
        <d v="2025-04-05T00:00:00"/>
        <d v="2025-01-21T00:00:00"/>
        <d v="2025-09-19T00:00:00"/>
        <d v="2025-11-11T00:00:00"/>
        <d v="2025-01-01T00:00:00"/>
        <d v="2025-10-29T00:00:00"/>
        <d v="2025-07-07T00:00:00"/>
        <d v="2025-03-24T00:00:00"/>
        <d v="2025-02-10T00:00:00"/>
        <d v="2025-05-22T00:00:00"/>
        <d v="2025-10-14T00:00:00"/>
        <d v="2025-05-14T00:00:00"/>
        <d v="2025-01-15T00:00:00"/>
        <d v="2025-07-31T00:00:00"/>
        <d v="2025-02-24T00:00:00"/>
        <d v="2025-04-18T00:00:00"/>
        <d v="2025-11-06T00:00:00"/>
      </sharedItems>
    </cacheField>
    <cacheField name="Locality" numFmtId="0">
      <sharedItems count="18">
        <s v="Hindwadi"/>
        <s v="Shahapur"/>
        <s v="Hanuman Nagar"/>
        <s v="Vadgaon"/>
        <s v="Nehru Nagar"/>
        <s v="Gandhi Nagar"/>
        <s v="Malmaruti"/>
        <s v="Fort Road"/>
        <s v="Ashok Nagar"/>
        <s v="Bogarves"/>
        <s v="Udyambag"/>
        <s v="Khasbag"/>
        <s v="Raviwar Peth"/>
        <s v="Nanawadi"/>
        <s v="Camp"/>
        <s v="Tilakwadi"/>
        <s v="Angol"/>
        <s v="Shivabasava Nagar"/>
      </sharedItems>
    </cacheField>
    <cacheField name="Customer_Segment" numFmtId="0">
      <sharedItems count="3">
        <s v="Retail"/>
        <s v="Wholesale"/>
        <s v="Corporate"/>
      </sharedItems>
    </cacheField>
    <cacheField name="Product_Category" numFmtId="0">
      <sharedItems count="10">
        <s v="Pharmacy"/>
        <s v="Grocery"/>
        <s v="Dairy"/>
        <s v="Hardware"/>
        <s v="Home Appliances"/>
        <s v="Restaurant"/>
        <s v="Stationery"/>
        <s v="Electronics"/>
        <s v="Mobile Accessories"/>
        <s v="Apparel"/>
      </sharedItems>
    </cacheField>
    <cacheField name="Order_Status" numFmtId="0">
      <sharedItems count="4">
        <s v="Delivered"/>
        <s v="Pending"/>
        <s v="Cancelled"/>
        <s v="Returned"/>
      </sharedItems>
    </cacheField>
    <cacheField name="Sales_Channel" numFmtId="0">
      <sharedItems count="3">
        <s v="Online"/>
        <s v="In-Store"/>
        <s v="Phone"/>
      </sharedItems>
    </cacheField>
    <cacheField name="Payment_Mode" numFmtId="0">
      <sharedItems count="5">
        <s v="Cash"/>
        <s v="UPI"/>
        <s v="Card"/>
        <s v="NetBanking"/>
        <s v="Wallet"/>
      </sharedItems>
    </cacheField>
    <cacheField name="Quantity" numFmtId="0">
      <sharedItems containsSemiMixedTypes="0" containsString="0" containsNumber="1" containsInteger="1" minValue="1" maxValue="25" count="25">
        <n v="9"/>
        <n v="10"/>
        <n v="8"/>
        <n v="2"/>
        <n v="14"/>
        <n v="13"/>
        <n v="4"/>
        <n v="7"/>
        <n v="1"/>
        <n v="6"/>
        <n v="22"/>
        <n v="16"/>
        <n v="20"/>
        <n v="21"/>
        <n v="3"/>
        <n v="12"/>
        <n v="5"/>
        <n v="11"/>
        <n v="15"/>
        <n v="19"/>
        <n v="23"/>
        <n v="24"/>
        <n v="17"/>
        <n v="18"/>
        <n v="25"/>
      </sharedItems>
    </cacheField>
    <cacheField name="Order_Amount" numFmtId="4">
      <sharedItems containsSemiMixedTypes="0" containsString="0" containsNumber="1" minValue="0" maxValue="74173.240000000005" count="451">
        <n v="1877.06"/>
        <n v="1622.77"/>
        <n v="1582.54"/>
        <n v="0"/>
        <n v="186.6"/>
        <n v="5953.25"/>
        <n v="2021.92"/>
        <n v="1421.83"/>
        <n v="1623.75"/>
        <n v="5386.91"/>
        <n v="254.8"/>
        <n v="1269.4000000000001"/>
        <n v="5398.45"/>
        <n v="3671.94"/>
        <n v="769.34"/>
        <n v="1889.27"/>
        <n v="2558.39"/>
        <n v="2114.4699999999998"/>
        <n v="2848.89"/>
        <n v="4565.8900000000003"/>
        <n v="1467.6"/>
        <n v="1892.46"/>
        <n v="69808.37"/>
        <n v="26162.19"/>
        <n v="1223.51"/>
        <n v="284.8"/>
        <n v="6409.82"/>
        <n v="2631.52"/>
        <n v="13271.58"/>
        <n v="676.52"/>
        <n v="15566.52"/>
        <n v="1576.88"/>
        <n v="13958.31"/>
        <n v="582.45000000000005"/>
        <n v="2236.1799999999998"/>
        <n v="864.62"/>
        <n v="1440"/>
        <n v="7005.76"/>
        <n v="619.86"/>
        <n v="9702.98"/>
        <n v="10368.9"/>
        <n v="4280.6099999999997"/>
        <n v="635.55999999999995"/>
        <n v="7340.69"/>
        <n v="2635.39"/>
        <n v="3656.32"/>
        <n v="3042.53"/>
        <n v="2939.3"/>
        <n v="1703.24"/>
        <n v="12517.55"/>
        <n v="24033.68"/>
        <n v="2155.81"/>
        <n v="11553.62"/>
        <n v="14080.07"/>
        <n v="6618.47"/>
        <n v="2631.09"/>
        <n v="11711.86"/>
        <n v="26543.05"/>
        <n v="3939.25"/>
        <n v="3789.81"/>
        <n v="209.52"/>
        <n v="6659.02"/>
        <n v="4683.88"/>
        <n v="1471.68"/>
        <n v="2402.2399999999998"/>
        <n v="162.27000000000001"/>
        <n v="11748.51"/>
        <n v="2421.96"/>
        <n v="8438.75"/>
        <n v="1857.51"/>
        <n v="345.74"/>
        <n v="8945.67"/>
        <n v="4232.7299999999996"/>
        <n v="687.11"/>
        <n v="2503.9899999999998"/>
        <n v="4174.75"/>
        <n v="2914.74"/>
        <n v="9785.9"/>
        <n v="9311.44"/>
        <n v="3774.38"/>
        <n v="6929.59"/>
        <n v="9636.9500000000007"/>
        <n v="502.65"/>
        <n v="3641.62"/>
        <n v="1302.72"/>
        <n v="1520.85"/>
        <n v="1727.61"/>
        <n v="779.65"/>
        <n v="7741.85"/>
        <n v="16695.419999999998"/>
        <n v="2633.63"/>
        <n v="6085.52"/>
        <n v="4493.6499999999996"/>
        <n v="847.62"/>
        <n v="134.61000000000001"/>
        <n v="3795.37"/>
        <n v="1711.79"/>
        <n v="3294.64"/>
        <n v="596.78"/>
        <n v="3147.46"/>
        <n v="4555.99"/>
        <n v="2187.27"/>
        <n v="6030.27"/>
        <n v="26812.17"/>
        <n v="1720.58"/>
        <n v="2777.67"/>
        <n v="1915.66"/>
        <n v="487.52"/>
        <n v="363.29"/>
        <n v="1681.9"/>
        <n v="3734.81"/>
        <n v="2907.17"/>
        <n v="144.91"/>
        <n v="10523.48"/>
        <n v="1961.07"/>
        <n v="2292.36"/>
        <n v="8714.9500000000007"/>
        <n v="924.14"/>
        <n v="788.73"/>
        <n v="24368.880000000001"/>
        <n v="1077.73"/>
        <n v="2939.62"/>
        <n v="308.26"/>
        <n v="2076.63"/>
        <n v="173.01"/>
        <n v="402.84"/>
        <n v="2510.4299999999998"/>
        <n v="6737.47"/>
        <n v="1527.69"/>
        <n v="2293.14"/>
        <n v="1042.49"/>
        <n v="3917.51"/>
        <n v="1245.8900000000001"/>
        <n v="834.46"/>
        <n v="638.66"/>
        <n v="1139.71"/>
        <n v="12500.93"/>
        <n v="1386.79"/>
        <n v="2298.9499999999998"/>
        <n v="11758.35"/>
        <n v="14261.15"/>
        <n v="1638.83"/>
        <n v="946.18"/>
        <n v="1743.85"/>
        <n v="404.99"/>
        <n v="1258.0899999999999"/>
        <n v="2449.06"/>
        <n v="953.31"/>
        <n v="877.37"/>
        <n v="581.73"/>
        <n v="4151.21"/>
        <n v="6437.11"/>
        <n v="920.21"/>
        <n v="4199.01"/>
        <n v="4582"/>
        <n v="1809.82"/>
        <n v="2899.77"/>
        <n v="1771.25"/>
        <n v="3579.8"/>
        <n v="995.89"/>
        <n v="3333.56"/>
        <n v="288.12"/>
        <n v="7100.81"/>
        <n v="766.78"/>
        <n v="3399.6"/>
        <n v="364.95"/>
        <n v="1762.5"/>
        <n v="436.37"/>
        <n v="26965.040000000001"/>
        <n v="1622.03"/>
        <n v="1326.89"/>
        <n v="2295.2399999999998"/>
        <n v="3011.42"/>
        <n v="12339.23"/>
        <n v="13508.67"/>
        <n v="1105.25"/>
        <n v="1230.1500000000001"/>
        <n v="1660.92"/>
        <n v="3386.01"/>
        <n v="677.03"/>
        <n v="1210.71"/>
        <n v="2543.14"/>
        <n v="24520.14"/>
        <n v="268.66000000000003"/>
        <n v="3584.11"/>
        <n v="3917.85"/>
        <n v="827.32"/>
        <n v="2107.89"/>
        <n v="1063.04"/>
        <n v="4934.93"/>
        <n v="1628.85"/>
        <n v="1484.87"/>
        <n v="16589.48"/>
        <n v="2532.85"/>
        <n v="1860.1"/>
        <n v="18779.34"/>
        <n v="1302.3599999999999"/>
        <n v="1375.61"/>
        <n v="17536.62"/>
        <n v="2660.62"/>
        <n v="822.24"/>
        <n v="184.64"/>
        <n v="150.13"/>
        <n v="2283.88"/>
        <n v="877.96"/>
        <n v="22421.47"/>
        <n v="814.09"/>
        <n v="6486.73"/>
        <n v="1237.97"/>
        <n v="3280.33"/>
        <n v="43167.33"/>
        <n v="1650"/>
        <n v="6001.62"/>
        <n v="2237.79"/>
        <n v="4434.47"/>
        <n v="234.16"/>
        <n v="407.14"/>
        <n v="1899.9"/>
        <n v="3111.15"/>
        <n v="593.97"/>
        <n v="4317.8999999999996"/>
        <n v="619.57000000000005"/>
        <n v="360.2"/>
        <n v="1160.1500000000001"/>
        <n v="1848.84"/>
        <n v="2568.86"/>
        <n v="2906.23"/>
        <n v="645.48"/>
        <n v="5334.09"/>
        <n v="1828.46"/>
        <n v="5353.54"/>
        <n v="3061.17"/>
        <n v="4683.58"/>
        <n v="4491.04"/>
        <n v="1916.15"/>
        <n v="1618.03"/>
        <n v="397.24"/>
        <n v="1445.77"/>
        <n v="269.38"/>
        <n v="1434.13"/>
        <n v="21445.83"/>
        <n v="14565.11"/>
        <n v="1450.75"/>
        <n v="1878.22"/>
        <n v="1132.81"/>
        <n v="3947.07"/>
        <n v="1196.8399999999999"/>
        <n v="1821.72"/>
        <n v="3086.4"/>
        <n v="270.60000000000002"/>
        <n v="4145.1099999999997"/>
        <n v="2246.06"/>
        <n v="1896.95"/>
        <n v="7251.15"/>
        <n v="3875.89"/>
        <n v="1154.92"/>
        <n v="38629.24"/>
        <n v="2523.7800000000002"/>
        <n v="736.43"/>
        <n v="6146.8"/>
        <n v="6382.06"/>
        <n v="13526.18"/>
        <n v="5266.7"/>
        <n v="2208.27"/>
        <n v="11411.96"/>
        <n v="1430.03"/>
        <n v="991.63"/>
        <n v="2097.11"/>
        <n v="4381.53"/>
        <n v="921.3"/>
        <n v="1094.53"/>
        <n v="595.30999999999995"/>
        <n v="4574.8100000000004"/>
        <n v="2579.06"/>
        <n v="1286.1300000000001"/>
        <n v="1035.3"/>
        <n v="9341.9699999999993"/>
        <n v="4866.57"/>
        <n v="1704.36"/>
        <n v="1846.83"/>
        <n v="3525.24"/>
        <n v="8755.61"/>
        <n v="1726.3"/>
        <n v="5001.5200000000004"/>
        <n v="46503.6"/>
        <n v="1053.6500000000001"/>
        <n v="1467.7"/>
        <n v="550.66"/>
        <n v="2895.31"/>
        <n v="888.78"/>
        <n v="25917.45"/>
        <n v="836.48"/>
        <n v="2570"/>
        <n v="23467.94"/>
        <n v="4710.32"/>
        <n v="2556.84"/>
        <n v="2117.13"/>
        <n v="1978.46"/>
        <n v="8465.34"/>
        <n v="61322.28"/>
        <n v="769.8"/>
        <n v="1915.93"/>
        <n v="2379.48"/>
        <n v="10939.28"/>
        <n v="1575.94"/>
        <n v="682.25"/>
        <n v="2585.4299999999998"/>
        <n v="614.77"/>
        <n v="6142.4"/>
        <n v="1427.5"/>
        <n v="1027.0999999999999"/>
        <n v="2829.59"/>
        <n v="1679.7"/>
        <n v="4671.8900000000003"/>
        <n v="3903.1"/>
        <n v="1367.12"/>
        <n v="192.34"/>
        <n v="1441.7"/>
        <n v="273.33"/>
        <n v="528.46"/>
        <n v="11407.9"/>
        <n v="2199.4699999999998"/>
        <n v="469.78"/>
        <n v="8536.9"/>
        <n v="4448.71"/>
        <n v="3428.09"/>
        <n v="1227.79"/>
        <n v="3534.48"/>
        <n v="2878.01"/>
        <n v="1749.98"/>
        <n v="533.13"/>
        <n v="1081.32"/>
        <n v="1433.38"/>
        <n v="1772.78"/>
        <n v="2756.98"/>
        <n v="823.13"/>
        <n v="9456.14"/>
        <n v="4484.1400000000003"/>
        <n v="2705.03"/>
        <n v="29567.39"/>
        <n v="985.87"/>
        <n v="13705.18"/>
        <n v="2169.62"/>
        <n v="4040.76"/>
        <n v="1400.24"/>
        <n v="4923.37"/>
        <n v="1543.38"/>
        <n v="2723.06"/>
        <n v="1501.68"/>
        <n v="2523.77"/>
        <n v="167.52"/>
        <n v="2473.27"/>
        <n v="1920.78"/>
        <n v="961.96"/>
        <n v="756.8"/>
        <n v="4036.32"/>
        <n v="4900.41"/>
        <n v="1963.79"/>
        <n v="4106.97"/>
        <n v="7212.67"/>
        <n v="3079.09"/>
        <n v="4136.18"/>
        <n v="1328.24"/>
        <n v="2117.94"/>
        <n v="1764.1"/>
        <n v="1909.53"/>
        <n v="355.72"/>
        <n v="4216.53"/>
        <n v="1883.71"/>
        <n v="1318.29"/>
        <n v="24235.360000000001"/>
        <n v="8898.5"/>
        <n v="5243"/>
        <n v="1704.78"/>
        <n v="3509.82"/>
        <n v="7661.81"/>
        <n v="2355.48"/>
        <n v="4542.7"/>
        <n v="1100.44"/>
        <n v="1597.43"/>
        <n v="3363.65"/>
        <n v="1657.88"/>
        <n v="194.27"/>
        <n v="1165.29"/>
        <n v="2479.6799999999998"/>
        <n v="2620.27"/>
        <n v="8483.2800000000007"/>
        <n v="1695.94"/>
        <n v="4730.29"/>
        <n v="4025.73"/>
        <n v="12834.7"/>
        <n v="3662.2"/>
        <n v="1829.33"/>
        <n v="1348.3"/>
        <n v="2701.85"/>
        <n v="5457.3"/>
        <n v="7719.77"/>
        <n v="327.82"/>
        <n v="4502.8"/>
        <n v="3374.51"/>
        <n v="1490.74"/>
        <n v="11030.96"/>
        <n v="1644.8"/>
        <n v="1625.73"/>
        <n v="4277.71"/>
        <n v="3992.61"/>
        <n v="2311.77"/>
        <n v="7405.32"/>
        <n v="9662.7000000000007"/>
        <n v="466.4"/>
        <n v="2596.84"/>
        <n v="15241.46"/>
        <n v="1843.86"/>
        <n v="3767.55"/>
        <n v="3709.23"/>
        <n v="205.55"/>
        <n v="5904.64"/>
        <n v="17621.759999999998"/>
        <n v="3317.76"/>
        <n v="156"/>
        <n v="1626.7"/>
        <n v="15863.77"/>
        <n v="23820.19"/>
        <n v="804.12"/>
        <n v="1483.54"/>
        <n v="8237.02"/>
        <n v="219.67"/>
        <n v="1941.1"/>
        <n v="4685.42"/>
        <n v="919.75"/>
        <n v="2144.92"/>
        <n v="74173.240000000005"/>
        <n v="885.67"/>
        <n v="755.57"/>
        <n v="10117.969999999999"/>
        <n v="3006.37"/>
        <n v="8483.7999999999993"/>
        <n v="1063.6400000000001"/>
        <n v="1499.49"/>
        <n v="818.42"/>
        <n v="1139.52"/>
        <n v="8608.36"/>
        <n v="3738.69"/>
        <n v="22460.1"/>
        <n v="3175.9"/>
        <n v="884.15"/>
        <n v="682.38"/>
        <n v="3782.99"/>
        <n v="3894.59"/>
        <n v="1625.23"/>
        <n v="1096.3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BLG-0001"/>
    <x v="0"/>
    <s v="Nov"/>
    <x v="0"/>
    <x v="0"/>
    <x v="0"/>
    <x v="0"/>
    <x v="0"/>
    <x v="0"/>
    <x v="0"/>
    <n v="1877.06"/>
    <n v="16893.54"/>
  </r>
  <r>
    <s v="BLG-0002"/>
    <x v="1"/>
    <s v="Aug"/>
    <x v="1"/>
    <x v="0"/>
    <x v="1"/>
    <x v="0"/>
    <x v="1"/>
    <x v="1"/>
    <x v="0"/>
    <n v="1622.77"/>
    <n v="14604.93"/>
  </r>
  <r>
    <s v="BLG-0003"/>
    <x v="2"/>
    <s v="Aug"/>
    <x v="2"/>
    <x v="1"/>
    <x v="1"/>
    <x v="1"/>
    <x v="0"/>
    <x v="1"/>
    <x v="1"/>
    <n v="1582.54"/>
    <n v="15825.4"/>
  </r>
  <r>
    <s v="BLG-0004"/>
    <x v="3"/>
    <s v="Jun"/>
    <x v="0"/>
    <x v="0"/>
    <x v="1"/>
    <x v="2"/>
    <x v="0"/>
    <x v="2"/>
    <x v="2"/>
    <n v="0"/>
    <n v="0"/>
  </r>
  <r>
    <s v="BLG-0005"/>
    <x v="4"/>
    <s v="Jul"/>
    <x v="3"/>
    <x v="0"/>
    <x v="2"/>
    <x v="0"/>
    <x v="0"/>
    <x v="0"/>
    <x v="3"/>
    <n v="186.6"/>
    <n v="373.2"/>
  </r>
  <r>
    <s v="BLG-0006"/>
    <x v="5"/>
    <s v="Apr"/>
    <x v="4"/>
    <x v="2"/>
    <x v="2"/>
    <x v="2"/>
    <x v="1"/>
    <x v="1"/>
    <x v="4"/>
    <n v="0"/>
    <n v="0"/>
  </r>
  <r>
    <s v="BLG-0007"/>
    <x v="6"/>
    <s v="Dec"/>
    <x v="2"/>
    <x v="1"/>
    <x v="3"/>
    <x v="0"/>
    <x v="0"/>
    <x v="0"/>
    <x v="5"/>
    <n v="5953.25"/>
    <n v="77392.25"/>
  </r>
  <r>
    <s v="BLG-0008"/>
    <x v="7"/>
    <s v="Jul"/>
    <x v="2"/>
    <x v="2"/>
    <x v="3"/>
    <x v="0"/>
    <x v="0"/>
    <x v="2"/>
    <x v="6"/>
    <n v="2021.92"/>
    <n v="8087.68"/>
  </r>
  <r>
    <s v="BLG-0009"/>
    <x v="8"/>
    <s v="Jun"/>
    <x v="5"/>
    <x v="0"/>
    <x v="1"/>
    <x v="3"/>
    <x v="0"/>
    <x v="1"/>
    <x v="2"/>
    <n v="1421.83"/>
    <n v="11374.64"/>
  </r>
  <r>
    <s v="BLG-0010"/>
    <x v="9"/>
    <s v="Nov"/>
    <x v="6"/>
    <x v="0"/>
    <x v="1"/>
    <x v="1"/>
    <x v="1"/>
    <x v="2"/>
    <x v="7"/>
    <n v="1623.75"/>
    <n v="11366.25"/>
  </r>
  <r>
    <s v="BLG-0011"/>
    <x v="10"/>
    <s v="Jul"/>
    <x v="7"/>
    <x v="0"/>
    <x v="4"/>
    <x v="0"/>
    <x v="1"/>
    <x v="1"/>
    <x v="3"/>
    <n v="5386.91"/>
    <n v="10773.82"/>
  </r>
  <r>
    <s v="BLG-0012"/>
    <x v="11"/>
    <s v="Nov"/>
    <x v="3"/>
    <x v="0"/>
    <x v="5"/>
    <x v="0"/>
    <x v="1"/>
    <x v="0"/>
    <x v="8"/>
    <n v="254.8"/>
    <n v="254.8"/>
  </r>
  <r>
    <s v="BLG-0013"/>
    <x v="12"/>
    <s v="Feb"/>
    <x v="8"/>
    <x v="1"/>
    <x v="6"/>
    <x v="0"/>
    <x v="1"/>
    <x v="1"/>
    <x v="9"/>
    <n v="1269.4000000000001"/>
    <n v="7616.4000000000005"/>
  </r>
  <r>
    <s v="BLG-0014"/>
    <x v="13"/>
    <s v="May"/>
    <x v="9"/>
    <x v="1"/>
    <x v="5"/>
    <x v="0"/>
    <x v="0"/>
    <x v="2"/>
    <x v="10"/>
    <n v="5398.45"/>
    <n v="118765.9"/>
  </r>
  <r>
    <s v="BLG-0015"/>
    <x v="14"/>
    <s v="Mar"/>
    <x v="7"/>
    <x v="1"/>
    <x v="5"/>
    <x v="1"/>
    <x v="1"/>
    <x v="1"/>
    <x v="11"/>
    <n v="3671.94"/>
    <n v="58751.040000000001"/>
  </r>
  <r>
    <s v="BLG-0016"/>
    <x v="15"/>
    <s v="Feb"/>
    <x v="7"/>
    <x v="1"/>
    <x v="2"/>
    <x v="0"/>
    <x v="1"/>
    <x v="2"/>
    <x v="2"/>
    <n v="769.34"/>
    <n v="6154.72"/>
  </r>
  <r>
    <s v="BLG-0017"/>
    <x v="16"/>
    <s v="Sep"/>
    <x v="3"/>
    <x v="2"/>
    <x v="5"/>
    <x v="0"/>
    <x v="0"/>
    <x v="3"/>
    <x v="2"/>
    <n v="1889.27"/>
    <n v="15114.16"/>
  </r>
  <r>
    <s v="BLG-0018"/>
    <x v="1"/>
    <s v="Aug"/>
    <x v="10"/>
    <x v="2"/>
    <x v="6"/>
    <x v="0"/>
    <x v="0"/>
    <x v="1"/>
    <x v="4"/>
    <n v="2558.39"/>
    <n v="35817.46"/>
  </r>
  <r>
    <s v="BLG-0019"/>
    <x v="17"/>
    <s v="Mar"/>
    <x v="11"/>
    <x v="0"/>
    <x v="7"/>
    <x v="0"/>
    <x v="1"/>
    <x v="1"/>
    <x v="8"/>
    <n v="2114.4699999999998"/>
    <n v="2114.4699999999998"/>
  </r>
  <r>
    <s v="BLG-0020"/>
    <x v="18"/>
    <s v="Jan"/>
    <x v="12"/>
    <x v="0"/>
    <x v="0"/>
    <x v="0"/>
    <x v="1"/>
    <x v="1"/>
    <x v="1"/>
    <n v="2848.89"/>
    <n v="28488.899999999998"/>
  </r>
  <r>
    <s v="BLG-0021"/>
    <x v="19"/>
    <s v="May"/>
    <x v="13"/>
    <x v="1"/>
    <x v="1"/>
    <x v="0"/>
    <x v="1"/>
    <x v="1"/>
    <x v="12"/>
    <n v="4565.8900000000003"/>
    <n v="91317.8"/>
  </r>
  <r>
    <s v="BLG-0022"/>
    <x v="20"/>
    <s v="Jan"/>
    <x v="0"/>
    <x v="0"/>
    <x v="6"/>
    <x v="1"/>
    <x v="1"/>
    <x v="1"/>
    <x v="0"/>
    <n v="1467.6"/>
    <n v="13208.4"/>
  </r>
  <r>
    <s v="BLG-0023"/>
    <x v="1"/>
    <s v="Aug"/>
    <x v="14"/>
    <x v="0"/>
    <x v="0"/>
    <x v="3"/>
    <x v="1"/>
    <x v="2"/>
    <x v="0"/>
    <n v="1892.46"/>
    <n v="17032.14"/>
  </r>
  <r>
    <s v="BLG-0024"/>
    <x v="21"/>
    <s v="Nov"/>
    <x v="8"/>
    <x v="1"/>
    <x v="4"/>
    <x v="3"/>
    <x v="0"/>
    <x v="1"/>
    <x v="13"/>
    <n v="69808.37"/>
    <n v="1465975.77"/>
  </r>
  <r>
    <s v="BLG-0025"/>
    <x v="22"/>
    <s v="Jan"/>
    <x v="14"/>
    <x v="0"/>
    <x v="4"/>
    <x v="0"/>
    <x v="0"/>
    <x v="1"/>
    <x v="7"/>
    <n v="26162.19"/>
    <n v="183135.33"/>
  </r>
  <r>
    <s v="BLG-0026"/>
    <x v="23"/>
    <s v="Oct"/>
    <x v="13"/>
    <x v="0"/>
    <x v="0"/>
    <x v="3"/>
    <x v="1"/>
    <x v="0"/>
    <x v="9"/>
    <n v="1223.51"/>
    <n v="7341.0599999999995"/>
  </r>
  <r>
    <s v="BLG-0027"/>
    <x v="24"/>
    <s v="Oct"/>
    <x v="13"/>
    <x v="0"/>
    <x v="2"/>
    <x v="0"/>
    <x v="2"/>
    <x v="1"/>
    <x v="14"/>
    <n v="284.8"/>
    <n v="854.40000000000009"/>
  </r>
  <r>
    <s v="BLG-0028"/>
    <x v="25"/>
    <s v="Feb"/>
    <x v="11"/>
    <x v="0"/>
    <x v="4"/>
    <x v="0"/>
    <x v="1"/>
    <x v="1"/>
    <x v="3"/>
    <n v="6409.82"/>
    <n v="12819.64"/>
  </r>
  <r>
    <s v="BLG-0029"/>
    <x v="26"/>
    <s v="Sep"/>
    <x v="12"/>
    <x v="2"/>
    <x v="1"/>
    <x v="1"/>
    <x v="1"/>
    <x v="1"/>
    <x v="15"/>
    <n v="2631.52"/>
    <n v="31578.239999999998"/>
  </r>
  <r>
    <s v="BLG-0030"/>
    <x v="27"/>
    <s v="Feb"/>
    <x v="15"/>
    <x v="0"/>
    <x v="4"/>
    <x v="3"/>
    <x v="1"/>
    <x v="1"/>
    <x v="16"/>
    <n v="13271.58"/>
    <n v="66357.899999999994"/>
  </r>
  <r>
    <s v="BLG-0031"/>
    <x v="28"/>
    <s v="Feb"/>
    <x v="11"/>
    <x v="0"/>
    <x v="1"/>
    <x v="2"/>
    <x v="0"/>
    <x v="0"/>
    <x v="0"/>
    <n v="0"/>
    <n v="0"/>
  </r>
  <r>
    <s v="BLG-0032"/>
    <x v="29"/>
    <s v="Oct"/>
    <x v="4"/>
    <x v="2"/>
    <x v="1"/>
    <x v="2"/>
    <x v="1"/>
    <x v="2"/>
    <x v="7"/>
    <n v="0"/>
    <n v="0"/>
  </r>
  <r>
    <s v="BLG-0033"/>
    <x v="30"/>
    <s v="Jun"/>
    <x v="10"/>
    <x v="1"/>
    <x v="2"/>
    <x v="0"/>
    <x v="1"/>
    <x v="3"/>
    <x v="7"/>
    <n v="676.52"/>
    <n v="4735.6399999999994"/>
  </r>
  <r>
    <s v="BLG-0034"/>
    <x v="1"/>
    <s v="Aug"/>
    <x v="2"/>
    <x v="0"/>
    <x v="7"/>
    <x v="0"/>
    <x v="2"/>
    <x v="1"/>
    <x v="2"/>
    <n v="15566.52"/>
    <n v="124532.16"/>
  </r>
  <r>
    <s v="BLG-0035"/>
    <x v="31"/>
    <s v="Jan"/>
    <x v="0"/>
    <x v="0"/>
    <x v="8"/>
    <x v="2"/>
    <x v="1"/>
    <x v="2"/>
    <x v="1"/>
    <n v="0"/>
    <n v="0"/>
  </r>
  <r>
    <s v="BLG-0036"/>
    <x v="32"/>
    <s v="Aug"/>
    <x v="16"/>
    <x v="0"/>
    <x v="7"/>
    <x v="3"/>
    <x v="2"/>
    <x v="1"/>
    <x v="8"/>
    <n v="1576.88"/>
    <n v="1576.88"/>
  </r>
  <r>
    <s v="BLG-0037"/>
    <x v="33"/>
    <s v="Jul"/>
    <x v="8"/>
    <x v="1"/>
    <x v="9"/>
    <x v="0"/>
    <x v="1"/>
    <x v="3"/>
    <x v="17"/>
    <n v="13958.31"/>
    <n v="153541.41"/>
  </r>
  <r>
    <s v="BLG-0038"/>
    <x v="34"/>
    <s v="Apr"/>
    <x v="17"/>
    <x v="0"/>
    <x v="6"/>
    <x v="0"/>
    <x v="2"/>
    <x v="2"/>
    <x v="6"/>
    <n v="582.45000000000005"/>
    <n v="2329.8000000000002"/>
  </r>
  <r>
    <s v="BLG-0039"/>
    <x v="35"/>
    <s v="Feb"/>
    <x v="5"/>
    <x v="1"/>
    <x v="2"/>
    <x v="0"/>
    <x v="0"/>
    <x v="0"/>
    <x v="18"/>
    <n v="2236.1799999999998"/>
    <n v="33542.699999999997"/>
  </r>
  <r>
    <s v="BLG-0040"/>
    <x v="5"/>
    <s v="Apr"/>
    <x v="11"/>
    <x v="0"/>
    <x v="1"/>
    <x v="0"/>
    <x v="0"/>
    <x v="4"/>
    <x v="16"/>
    <n v="864.62"/>
    <n v="4323.1000000000004"/>
  </r>
  <r>
    <s v="BLG-0041"/>
    <x v="36"/>
    <s v="Sep"/>
    <x v="5"/>
    <x v="1"/>
    <x v="2"/>
    <x v="0"/>
    <x v="1"/>
    <x v="2"/>
    <x v="4"/>
    <n v="1440"/>
    <n v="20160"/>
  </r>
  <r>
    <s v="BLG-0042"/>
    <x v="37"/>
    <s v="May"/>
    <x v="1"/>
    <x v="0"/>
    <x v="9"/>
    <x v="1"/>
    <x v="1"/>
    <x v="0"/>
    <x v="0"/>
    <n v="7005.76"/>
    <n v="63051.840000000004"/>
  </r>
  <r>
    <s v="BLG-0043"/>
    <x v="38"/>
    <s v="Oct"/>
    <x v="10"/>
    <x v="0"/>
    <x v="6"/>
    <x v="0"/>
    <x v="2"/>
    <x v="0"/>
    <x v="6"/>
    <n v="619.86"/>
    <n v="2479.44"/>
  </r>
  <r>
    <s v="BLG-0044"/>
    <x v="28"/>
    <s v="Feb"/>
    <x v="12"/>
    <x v="1"/>
    <x v="3"/>
    <x v="0"/>
    <x v="2"/>
    <x v="0"/>
    <x v="19"/>
    <n v="9702.98"/>
    <n v="184356.62"/>
  </r>
  <r>
    <s v="BLG-0045"/>
    <x v="39"/>
    <s v="Jun"/>
    <x v="8"/>
    <x v="0"/>
    <x v="9"/>
    <x v="3"/>
    <x v="0"/>
    <x v="3"/>
    <x v="1"/>
    <n v="10368.9"/>
    <n v="103689"/>
  </r>
  <r>
    <s v="BLG-0046"/>
    <x v="40"/>
    <s v="Jul"/>
    <x v="8"/>
    <x v="1"/>
    <x v="0"/>
    <x v="0"/>
    <x v="0"/>
    <x v="0"/>
    <x v="11"/>
    <n v="4280.6099999999997"/>
    <n v="68489.759999999995"/>
  </r>
  <r>
    <s v="BLG-0047"/>
    <x v="41"/>
    <s v="Aug"/>
    <x v="10"/>
    <x v="0"/>
    <x v="2"/>
    <x v="3"/>
    <x v="0"/>
    <x v="0"/>
    <x v="16"/>
    <n v="635.55999999999995"/>
    <n v="3177.7999999999997"/>
  </r>
  <r>
    <s v="BLG-0048"/>
    <x v="42"/>
    <s v="Nov"/>
    <x v="12"/>
    <x v="0"/>
    <x v="4"/>
    <x v="0"/>
    <x v="1"/>
    <x v="2"/>
    <x v="14"/>
    <n v="7340.69"/>
    <n v="22022.07"/>
  </r>
  <r>
    <s v="BLG-0049"/>
    <x v="43"/>
    <s v="Nov"/>
    <x v="3"/>
    <x v="0"/>
    <x v="8"/>
    <x v="0"/>
    <x v="0"/>
    <x v="1"/>
    <x v="7"/>
    <n v="2635.39"/>
    <n v="18447.73"/>
  </r>
  <r>
    <s v="BLG-0050"/>
    <x v="44"/>
    <s v="Dec"/>
    <x v="15"/>
    <x v="1"/>
    <x v="2"/>
    <x v="2"/>
    <x v="0"/>
    <x v="1"/>
    <x v="10"/>
    <n v="0"/>
    <n v="0"/>
  </r>
  <r>
    <s v="BLG-0051"/>
    <x v="45"/>
    <s v="Oct"/>
    <x v="11"/>
    <x v="2"/>
    <x v="1"/>
    <x v="0"/>
    <x v="1"/>
    <x v="0"/>
    <x v="5"/>
    <n v="3656.32"/>
    <n v="47532.160000000003"/>
  </r>
  <r>
    <s v="BLG-0052"/>
    <x v="46"/>
    <s v="Nov"/>
    <x v="9"/>
    <x v="0"/>
    <x v="8"/>
    <x v="0"/>
    <x v="1"/>
    <x v="2"/>
    <x v="2"/>
    <n v="3042.53"/>
    <n v="24340.240000000002"/>
  </r>
  <r>
    <s v="BLG-0053"/>
    <x v="47"/>
    <s v="May"/>
    <x v="2"/>
    <x v="1"/>
    <x v="5"/>
    <x v="0"/>
    <x v="1"/>
    <x v="1"/>
    <x v="18"/>
    <n v="2939.3"/>
    <n v="44089.5"/>
  </r>
  <r>
    <s v="BLG-0054"/>
    <x v="48"/>
    <s v="Jun"/>
    <x v="12"/>
    <x v="1"/>
    <x v="1"/>
    <x v="0"/>
    <x v="1"/>
    <x v="1"/>
    <x v="15"/>
    <n v="1703.24"/>
    <n v="20438.88"/>
  </r>
  <r>
    <s v="BLG-0055"/>
    <x v="49"/>
    <s v="Jul"/>
    <x v="12"/>
    <x v="0"/>
    <x v="9"/>
    <x v="0"/>
    <x v="1"/>
    <x v="3"/>
    <x v="1"/>
    <n v="12517.55"/>
    <n v="125175.5"/>
  </r>
  <r>
    <s v="BLG-0056"/>
    <x v="50"/>
    <s v="Jan"/>
    <x v="5"/>
    <x v="0"/>
    <x v="4"/>
    <x v="0"/>
    <x v="1"/>
    <x v="2"/>
    <x v="7"/>
    <n v="24033.68"/>
    <n v="168235.76"/>
  </r>
  <r>
    <s v="BLG-0057"/>
    <x v="51"/>
    <s v="Nov"/>
    <x v="11"/>
    <x v="0"/>
    <x v="0"/>
    <x v="0"/>
    <x v="1"/>
    <x v="0"/>
    <x v="7"/>
    <n v="2155.81"/>
    <n v="15090.67"/>
  </r>
  <r>
    <s v="BLG-0058"/>
    <x v="52"/>
    <s v="Aug"/>
    <x v="16"/>
    <x v="2"/>
    <x v="5"/>
    <x v="2"/>
    <x v="0"/>
    <x v="0"/>
    <x v="16"/>
    <n v="0"/>
    <n v="0"/>
  </r>
  <r>
    <s v="BLG-0059"/>
    <x v="53"/>
    <s v="Aug"/>
    <x v="14"/>
    <x v="0"/>
    <x v="7"/>
    <x v="0"/>
    <x v="1"/>
    <x v="2"/>
    <x v="7"/>
    <n v="11553.62"/>
    <n v="80875.340000000011"/>
  </r>
  <r>
    <s v="BLG-0060"/>
    <x v="54"/>
    <s v="Aug"/>
    <x v="2"/>
    <x v="1"/>
    <x v="9"/>
    <x v="1"/>
    <x v="1"/>
    <x v="3"/>
    <x v="5"/>
    <n v="14080.07"/>
    <n v="183040.91"/>
  </r>
  <r>
    <s v="BLG-0061"/>
    <x v="21"/>
    <s v="Nov"/>
    <x v="1"/>
    <x v="1"/>
    <x v="4"/>
    <x v="0"/>
    <x v="1"/>
    <x v="1"/>
    <x v="3"/>
    <n v="6618.47"/>
    <n v="13236.94"/>
  </r>
  <r>
    <s v="BLG-0062"/>
    <x v="55"/>
    <s v="Aug"/>
    <x v="2"/>
    <x v="1"/>
    <x v="1"/>
    <x v="0"/>
    <x v="0"/>
    <x v="1"/>
    <x v="17"/>
    <n v="2631.09"/>
    <n v="28941.99"/>
  </r>
  <r>
    <s v="BLG-0063"/>
    <x v="35"/>
    <s v="Feb"/>
    <x v="15"/>
    <x v="2"/>
    <x v="5"/>
    <x v="2"/>
    <x v="1"/>
    <x v="3"/>
    <x v="0"/>
    <n v="0"/>
    <n v="0"/>
  </r>
  <r>
    <s v="BLG-0064"/>
    <x v="56"/>
    <s v="Nov"/>
    <x v="11"/>
    <x v="0"/>
    <x v="6"/>
    <x v="2"/>
    <x v="0"/>
    <x v="1"/>
    <x v="1"/>
    <n v="0"/>
    <n v="0"/>
  </r>
  <r>
    <s v="BLG-0065"/>
    <x v="57"/>
    <s v="Jun"/>
    <x v="8"/>
    <x v="0"/>
    <x v="7"/>
    <x v="0"/>
    <x v="1"/>
    <x v="2"/>
    <x v="2"/>
    <n v="11711.86"/>
    <n v="93694.88"/>
  </r>
  <r>
    <s v="BLG-0066"/>
    <x v="58"/>
    <s v="Nov"/>
    <x v="6"/>
    <x v="1"/>
    <x v="9"/>
    <x v="1"/>
    <x v="2"/>
    <x v="1"/>
    <x v="20"/>
    <n v="26543.05"/>
    <n v="610490.15"/>
  </r>
  <r>
    <s v="BLG-0067"/>
    <x v="55"/>
    <s v="Aug"/>
    <x v="17"/>
    <x v="1"/>
    <x v="5"/>
    <x v="0"/>
    <x v="1"/>
    <x v="3"/>
    <x v="4"/>
    <n v="3939.25"/>
    <n v="55149.5"/>
  </r>
  <r>
    <s v="BLG-0068"/>
    <x v="19"/>
    <s v="May"/>
    <x v="6"/>
    <x v="0"/>
    <x v="3"/>
    <x v="0"/>
    <x v="1"/>
    <x v="1"/>
    <x v="2"/>
    <n v="3789.81"/>
    <n v="30318.48"/>
  </r>
  <r>
    <s v="BLG-0069"/>
    <x v="59"/>
    <s v="May"/>
    <x v="12"/>
    <x v="0"/>
    <x v="5"/>
    <x v="2"/>
    <x v="1"/>
    <x v="0"/>
    <x v="6"/>
    <n v="0"/>
    <n v="0"/>
  </r>
  <r>
    <s v="BLG-0070"/>
    <x v="49"/>
    <s v="Jul"/>
    <x v="13"/>
    <x v="0"/>
    <x v="0"/>
    <x v="0"/>
    <x v="0"/>
    <x v="1"/>
    <x v="8"/>
    <n v="209.52"/>
    <n v="209.52"/>
  </r>
  <r>
    <s v="BLG-0071"/>
    <x v="60"/>
    <s v="Apr"/>
    <x v="5"/>
    <x v="1"/>
    <x v="0"/>
    <x v="0"/>
    <x v="1"/>
    <x v="0"/>
    <x v="19"/>
    <n v="6659.02"/>
    <n v="126521.38"/>
  </r>
  <r>
    <s v="BLG-0072"/>
    <x v="61"/>
    <s v="Oct"/>
    <x v="12"/>
    <x v="0"/>
    <x v="9"/>
    <x v="0"/>
    <x v="1"/>
    <x v="2"/>
    <x v="9"/>
    <n v="4683.88"/>
    <n v="28103.279999999999"/>
  </r>
  <r>
    <s v="BLG-0073"/>
    <x v="62"/>
    <s v="Oct"/>
    <x v="14"/>
    <x v="0"/>
    <x v="6"/>
    <x v="0"/>
    <x v="0"/>
    <x v="2"/>
    <x v="1"/>
    <n v="1471.68"/>
    <n v="14716.800000000001"/>
  </r>
  <r>
    <s v="BLG-0074"/>
    <x v="63"/>
    <s v="Feb"/>
    <x v="10"/>
    <x v="0"/>
    <x v="7"/>
    <x v="0"/>
    <x v="0"/>
    <x v="1"/>
    <x v="8"/>
    <n v="2402.2399999999998"/>
    <n v="2402.2399999999998"/>
  </r>
  <r>
    <s v="BLG-0075"/>
    <x v="64"/>
    <s v="Mar"/>
    <x v="13"/>
    <x v="0"/>
    <x v="1"/>
    <x v="0"/>
    <x v="1"/>
    <x v="1"/>
    <x v="8"/>
    <n v="162.27000000000001"/>
    <n v="162.27000000000001"/>
  </r>
  <r>
    <s v="BLG-0076"/>
    <x v="65"/>
    <s v="Sep"/>
    <x v="0"/>
    <x v="1"/>
    <x v="9"/>
    <x v="0"/>
    <x v="0"/>
    <x v="1"/>
    <x v="1"/>
    <n v="11748.51"/>
    <n v="117485.1"/>
  </r>
  <r>
    <s v="BLG-0077"/>
    <x v="66"/>
    <s v="Jun"/>
    <x v="3"/>
    <x v="2"/>
    <x v="1"/>
    <x v="1"/>
    <x v="0"/>
    <x v="2"/>
    <x v="1"/>
    <n v="2421.96"/>
    <n v="24219.599999999999"/>
  </r>
  <r>
    <s v="BLG-0078"/>
    <x v="41"/>
    <s v="Aug"/>
    <x v="4"/>
    <x v="1"/>
    <x v="4"/>
    <x v="0"/>
    <x v="0"/>
    <x v="0"/>
    <x v="3"/>
    <n v="8438.75"/>
    <n v="16877.5"/>
  </r>
  <r>
    <s v="BLG-0079"/>
    <x v="37"/>
    <s v="May"/>
    <x v="3"/>
    <x v="0"/>
    <x v="1"/>
    <x v="0"/>
    <x v="1"/>
    <x v="1"/>
    <x v="1"/>
    <n v="1857.51"/>
    <n v="18575.099999999999"/>
  </r>
  <r>
    <s v="BLG-0080"/>
    <x v="18"/>
    <s v="Jan"/>
    <x v="11"/>
    <x v="0"/>
    <x v="0"/>
    <x v="2"/>
    <x v="1"/>
    <x v="1"/>
    <x v="16"/>
    <n v="0"/>
    <n v="0"/>
  </r>
  <r>
    <s v="BLG-0081"/>
    <x v="67"/>
    <s v="Nov"/>
    <x v="10"/>
    <x v="0"/>
    <x v="5"/>
    <x v="0"/>
    <x v="2"/>
    <x v="2"/>
    <x v="3"/>
    <n v="345.74"/>
    <n v="691.48"/>
  </r>
  <r>
    <s v="BLG-0082"/>
    <x v="68"/>
    <s v="Jun"/>
    <x v="4"/>
    <x v="0"/>
    <x v="9"/>
    <x v="0"/>
    <x v="1"/>
    <x v="1"/>
    <x v="0"/>
    <n v="8945.67"/>
    <n v="80511.03"/>
  </r>
  <r>
    <s v="BLG-0083"/>
    <x v="69"/>
    <s v="Feb"/>
    <x v="1"/>
    <x v="1"/>
    <x v="6"/>
    <x v="0"/>
    <x v="1"/>
    <x v="1"/>
    <x v="21"/>
    <n v="4232.7299999999996"/>
    <n v="101585.51999999999"/>
  </r>
  <r>
    <s v="BLG-0084"/>
    <x v="50"/>
    <s v="Jan"/>
    <x v="2"/>
    <x v="0"/>
    <x v="6"/>
    <x v="0"/>
    <x v="1"/>
    <x v="1"/>
    <x v="16"/>
    <n v="687.11"/>
    <n v="3435.55"/>
  </r>
  <r>
    <s v="BLG-0085"/>
    <x v="24"/>
    <s v="Oct"/>
    <x v="17"/>
    <x v="1"/>
    <x v="5"/>
    <x v="0"/>
    <x v="1"/>
    <x v="1"/>
    <x v="0"/>
    <n v="2503.9899999999998"/>
    <n v="22535.909999999996"/>
  </r>
  <r>
    <s v="BLG-0086"/>
    <x v="70"/>
    <s v="Jun"/>
    <x v="17"/>
    <x v="1"/>
    <x v="0"/>
    <x v="3"/>
    <x v="0"/>
    <x v="0"/>
    <x v="12"/>
    <n v="4174.75"/>
    <n v="83495"/>
  </r>
  <r>
    <s v="BLG-0087"/>
    <x v="71"/>
    <s v="May"/>
    <x v="12"/>
    <x v="0"/>
    <x v="6"/>
    <x v="2"/>
    <x v="0"/>
    <x v="1"/>
    <x v="0"/>
    <n v="0"/>
    <n v="0"/>
  </r>
  <r>
    <s v="BLG-0088"/>
    <x v="20"/>
    <s v="Jan"/>
    <x v="10"/>
    <x v="0"/>
    <x v="3"/>
    <x v="0"/>
    <x v="1"/>
    <x v="1"/>
    <x v="16"/>
    <n v="2914.74"/>
    <n v="14573.699999999999"/>
  </r>
  <r>
    <s v="BLG-0089"/>
    <x v="72"/>
    <s v="May"/>
    <x v="6"/>
    <x v="1"/>
    <x v="9"/>
    <x v="0"/>
    <x v="0"/>
    <x v="2"/>
    <x v="17"/>
    <n v="9785.9"/>
    <n v="107644.9"/>
  </r>
  <r>
    <s v="BLG-0090"/>
    <x v="73"/>
    <s v="Jan"/>
    <x v="8"/>
    <x v="0"/>
    <x v="0"/>
    <x v="2"/>
    <x v="1"/>
    <x v="3"/>
    <x v="14"/>
    <n v="0"/>
    <n v="0"/>
  </r>
  <r>
    <s v="BLG-0091"/>
    <x v="74"/>
    <s v="May"/>
    <x v="9"/>
    <x v="1"/>
    <x v="9"/>
    <x v="0"/>
    <x v="1"/>
    <x v="1"/>
    <x v="1"/>
    <n v="9311.44"/>
    <n v="93114.400000000009"/>
  </r>
  <r>
    <s v="BLG-0092"/>
    <x v="75"/>
    <s v="Nov"/>
    <x v="9"/>
    <x v="1"/>
    <x v="1"/>
    <x v="0"/>
    <x v="0"/>
    <x v="2"/>
    <x v="11"/>
    <n v="3774.38"/>
    <n v="60390.080000000002"/>
  </r>
  <r>
    <s v="BLG-0093"/>
    <x v="76"/>
    <s v="Sep"/>
    <x v="2"/>
    <x v="1"/>
    <x v="0"/>
    <x v="0"/>
    <x v="0"/>
    <x v="4"/>
    <x v="13"/>
    <n v="6929.59"/>
    <n v="145521.39000000001"/>
  </r>
  <r>
    <s v="BLG-0094"/>
    <x v="77"/>
    <s v="Aug"/>
    <x v="8"/>
    <x v="0"/>
    <x v="7"/>
    <x v="1"/>
    <x v="1"/>
    <x v="3"/>
    <x v="6"/>
    <n v="9636.9500000000007"/>
    <n v="38547.800000000003"/>
  </r>
  <r>
    <s v="BLG-0095"/>
    <x v="78"/>
    <s v="Apr"/>
    <x v="17"/>
    <x v="0"/>
    <x v="6"/>
    <x v="1"/>
    <x v="0"/>
    <x v="1"/>
    <x v="14"/>
    <n v="502.65"/>
    <n v="1507.9499999999998"/>
  </r>
  <r>
    <s v="BLG-0096"/>
    <x v="79"/>
    <s v="Jan"/>
    <x v="16"/>
    <x v="0"/>
    <x v="5"/>
    <x v="2"/>
    <x v="0"/>
    <x v="1"/>
    <x v="0"/>
    <n v="0"/>
    <n v="0"/>
  </r>
  <r>
    <s v="BLG-0097"/>
    <x v="73"/>
    <s v="Jan"/>
    <x v="16"/>
    <x v="0"/>
    <x v="3"/>
    <x v="0"/>
    <x v="1"/>
    <x v="4"/>
    <x v="9"/>
    <n v="3641.62"/>
    <n v="21849.72"/>
  </r>
  <r>
    <s v="BLG-0098"/>
    <x v="80"/>
    <s v="Jul"/>
    <x v="3"/>
    <x v="1"/>
    <x v="2"/>
    <x v="2"/>
    <x v="1"/>
    <x v="1"/>
    <x v="13"/>
    <n v="0"/>
    <n v="0"/>
  </r>
  <r>
    <s v="BLG-0099"/>
    <x v="79"/>
    <s v="Jan"/>
    <x v="3"/>
    <x v="0"/>
    <x v="3"/>
    <x v="0"/>
    <x v="1"/>
    <x v="1"/>
    <x v="3"/>
    <n v="1302.72"/>
    <n v="2605.44"/>
  </r>
  <r>
    <s v="BLG-0100"/>
    <x v="63"/>
    <s v="Feb"/>
    <x v="6"/>
    <x v="0"/>
    <x v="0"/>
    <x v="0"/>
    <x v="1"/>
    <x v="1"/>
    <x v="9"/>
    <n v="1520.85"/>
    <n v="9125.0999999999985"/>
  </r>
  <r>
    <s v="BLG-0101"/>
    <x v="81"/>
    <s v="Mar"/>
    <x v="11"/>
    <x v="0"/>
    <x v="5"/>
    <x v="1"/>
    <x v="1"/>
    <x v="1"/>
    <x v="7"/>
    <n v="1727.61"/>
    <n v="12093.269999999999"/>
  </r>
  <r>
    <s v="BLG-0102"/>
    <x v="82"/>
    <s v="May"/>
    <x v="13"/>
    <x v="2"/>
    <x v="1"/>
    <x v="0"/>
    <x v="1"/>
    <x v="1"/>
    <x v="14"/>
    <n v="779.65"/>
    <n v="2338.9499999999998"/>
  </r>
  <r>
    <s v="BLG-0103"/>
    <x v="72"/>
    <s v="May"/>
    <x v="8"/>
    <x v="0"/>
    <x v="9"/>
    <x v="0"/>
    <x v="0"/>
    <x v="0"/>
    <x v="7"/>
    <n v="7741.85"/>
    <n v="54192.950000000004"/>
  </r>
  <r>
    <s v="BLG-0104"/>
    <x v="83"/>
    <s v="Aug"/>
    <x v="4"/>
    <x v="0"/>
    <x v="7"/>
    <x v="0"/>
    <x v="1"/>
    <x v="0"/>
    <x v="1"/>
    <n v="16695.419999999998"/>
    <n v="166954.19999999998"/>
  </r>
  <r>
    <s v="BLG-0105"/>
    <x v="84"/>
    <s v="Jan"/>
    <x v="5"/>
    <x v="0"/>
    <x v="5"/>
    <x v="0"/>
    <x v="0"/>
    <x v="1"/>
    <x v="1"/>
    <n v="2633.63"/>
    <n v="26336.300000000003"/>
  </r>
  <r>
    <s v="BLG-0106"/>
    <x v="85"/>
    <s v="May"/>
    <x v="11"/>
    <x v="0"/>
    <x v="7"/>
    <x v="0"/>
    <x v="0"/>
    <x v="0"/>
    <x v="14"/>
    <n v="6085.52"/>
    <n v="18256.560000000001"/>
  </r>
  <r>
    <s v="BLG-0107"/>
    <x v="86"/>
    <s v="Nov"/>
    <x v="1"/>
    <x v="0"/>
    <x v="9"/>
    <x v="0"/>
    <x v="0"/>
    <x v="1"/>
    <x v="16"/>
    <n v="4493.6499999999996"/>
    <n v="22468.25"/>
  </r>
  <r>
    <s v="BLG-0108"/>
    <x v="87"/>
    <s v="Aug"/>
    <x v="14"/>
    <x v="0"/>
    <x v="6"/>
    <x v="2"/>
    <x v="1"/>
    <x v="0"/>
    <x v="16"/>
    <n v="0"/>
    <n v="0"/>
  </r>
  <r>
    <s v="BLG-0109"/>
    <x v="88"/>
    <s v="May"/>
    <x v="13"/>
    <x v="2"/>
    <x v="0"/>
    <x v="2"/>
    <x v="0"/>
    <x v="0"/>
    <x v="16"/>
    <n v="0"/>
    <n v="0"/>
  </r>
  <r>
    <s v="BLG-0110"/>
    <x v="89"/>
    <s v="Dec"/>
    <x v="5"/>
    <x v="2"/>
    <x v="2"/>
    <x v="0"/>
    <x v="0"/>
    <x v="1"/>
    <x v="9"/>
    <n v="847.62"/>
    <n v="5085.72"/>
  </r>
  <r>
    <s v="BLG-0111"/>
    <x v="90"/>
    <s v="Dec"/>
    <x v="2"/>
    <x v="0"/>
    <x v="2"/>
    <x v="3"/>
    <x v="1"/>
    <x v="1"/>
    <x v="8"/>
    <n v="134.61000000000001"/>
    <n v="134.61000000000001"/>
  </r>
  <r>
    <s v="BLG-0112"/>
    <x v="91"/>
    <s v="Oct"/>
    <x v="12"/>
    <x v="2"/>
    <x v="0"/>
    <x v="0"/>
    <x v="0"/>
    <x v="3"/>
    <x v="15"/>
    <n v="3795.37"/>
    <n v="45544.44"/>
  </r>
  <r>
    <s v="BLG-0113"/>
    <x v="92"/>
    <s v="Jan"/>
    <x v="1"/>
    <x v="0"/>
    <x v="5"/>
    <x v="0"/>
    <x v="0"/>
    <x v="1"/>
    <x v="2"/>
    <n v="1711.79"/>
    <n v="13694.32"/>
  </r>
  <r>
    <s v="BLG-0114"/>
    <x v="93"/>
    <s v="Oct"/>
    <x v="17"/>
    <x v="0"/>
    <x v="6"/>
    <x v="2"/>
    <x v="0"/>
    <x v="2"/>
    <x v="1"/>
    <n v="0"/>
    <n v="0"/>
  </r>
  <r>
    <s v="BLG-0115"/>
    <x v="94"/>
    <s v="May"/>
    <x v="1"/>
    <x v="1"/>
    <x v="1"/>
    <x v="0"/>
    <x v="1"/>
    <x v="1"/>
    <x v="22"/>
    <n v="3294.64"/>
    <n v="56008.88"/>
  </r>
  <r>
    <s v="BLG-0116"/>
    <x v="86"/>
    <s v="Nov"/>
    <x v="7"/>
    <x v="0"/>
    <x v="0"/>
    <x v="3"/>
    <x v="2"/>
    <x v="2"/>
    <x v="3"/>
    <n v="596.78"/>
    <n v="1193.56"/>
  </r>
  <r>
    <s v="BLG-0117"/>
    <x v="95"/>
    <s v="Nov"/>
    <x v="15"/>
    <x v="0"/>
    <x v="7"/>
    <x v="3"/>
    <x v="0"/>
    <x v="1"/>
    <x v="3"/>
    <n v="3147.46"/>
    <n v="6294.92"/>
  </r>
  <r>
    <s v="BLG-0118"/>
    <x v="70"/>
    <s v="Jun"/>
    <x v="16"/>
    <x v="1"/>
    <x v="5"/>
    <x v="0"/>
    <x v="2"/>
    <x v="4"/>
    <x v="20"/>
    <n v="4555.99"/>
    <n v="104787.76999999999"/>
  </r>
  <r>
    <s v="BLG-0119"/>
    <x v="96"/>
    <s v="Mar"/>
    <x v="0"/>
    <x v="1"/>
    <x v="1"/>
    <x v="0"/>
    <x v="0"/>
    <x v="1"/>
    <x v="11"/>
    <n v="2187.27"/>
    <n v="34996.32"/>
  </r>
  <r>
    <s v="BLG-0120"/>
    <x v="37"/>
    <s v="May"/>
    <x v="1"/>
    <x v="0"/>
    <x v="9"/>
    <x v="0"/>
    <x v="1"/>
    <x v="1"/>
    <x v="9"/>
    <n v="6030.27"/>
    <n v="36181.620000000003"/>
  </r>
  <r>
    <s v="BLG-0121"/>
    <x v="35"/>
    <s v="Feb"/>
    <x v="6"/>
    <x v="0"/>
    <x v="4"/>
    <x v="0"/>
    <x v="0"/>
    <x v="2"/>
    <x v="0"/>
    <n v="26812.17"/>
    <n v="241309.52999999997"/>
  </r>
  <r>
    <s v="BLG-0122"/>
    <x v="97"/>
    <s v="Jan"/>
    <x v="1"/>
    <x v="2"/>
    <x v="2"/>
    <x v="0"/>
    <x v="1"/>
    <x v="0"/>
    <x v="22"/>
    <n v="1720.58"/>
    <n v="29249.86"/>
  </r>
  <r>
    <s v="BLG-0123"/>
    <x v="98"/>
    <s v="Nov"/>
    <x v="16"/>
    <x v="0"/>
    <x v="0"/>
    <x v="0"/>
    <x v="1"/>
    <x v="1"/>
    <x v="1"/>
    <n v="2777.67"/>
    <n v="27776.7"/>
  </r>
  <r>
    <s v="BLG-0124"/>
    <x v="99"/>
    <s v="Aug"/>
    <x v="9"/>
    <x v="0"/>
    <x v="1"/>
    <x v="1"/>
    <x v="0"/>
    <x v="0"/>
    <x v="0"/>
    <n v="1915.66"/>
    <n v="17240.940000000002"/>
  </r>
  <r>
    <s v="BLG-0125"/>
    <x v="100"/>
    <s v="Apr"/>
    <x v="17"/>
    <x v="0"/>
    <x v="0"/>
    <x v="0"/>
    <x v="1"/>
    <x v="1"/>
    <x v="3"/>
    <n v="487.52"/>
    <n v="975.04"/>
  </r>
  <r>
    <s v="BLG-0126"/>
    <x v="101"/>
    <s v="Jun"/>
    <x v="2"/>
    <x v="0"/>
    <x v="1"/>
    <x v="3"/>
    <x v="1"/>
    <x v="2"/>
    <x v="3"/>
    <n v="363.29"/>
    <n v="726.58"/>
  </r>
  <r>
    <s v="BLG-0127"/>
    <x v="102"/>
    <s v="Jul"/>
    <x v="16"/>
    <x v="0"/>
    <x v="5"/>
    <x v="0"/>
    <x v="1"/>
    <x v="1"/>
    <x v="9"/>
    <n v="1681.9"/>
    <n v="10091.400000000001"/>
  </r>
  <r>
    <s v="BLG-0128"/>
    <x v="1"/>
    <s v="Aug"/>
    <x v="1"/>
    <x v="2"/>
    <x v="5"/>
    <x v="0"/>
    <x v="1"/>
    <x v="1"/>
    <x v="23"/>
    <n v="3734.81"/>
    <n v="67226.58"/>
  </r>
  <r>
    <s v="BLG-0129"/>
    <x v="23"/>
    <s v="Oct"/>
    <x v="7"/>
    <x v="0"/>
    <x v="0"/>
    <x v="0"/>
    <x v="1"/>
    <x v="0"/>
    <x v="1"/>
    <n v="2907.17"/>
    <n v="29071.7"/>
  </r>
  <r>
    <s v="BLG-0130"/>
    <x v="9"/>
    <s v="Nov"/>
    <x v="8"/>
    <x v="0"/>
    <x v="8"/>
    <x v="2"/>
    <x v="1"/>
    <x v="1"/>
    <x v="16"/>
    <n v="0"/>
    <n v="0"/>
  </r>
  <r>
    <s v="BLG-0131"/>
    <x v="103"/>
    <s v="Jun"/>
    <x v="15"/>
    <x v="0"/>
    <x v="1"/>
    <x v="0"/>
    <x v="1"/>
    <x v="2"/>
    <x v="8"/>
    <n v="144.91"/>
    <n v="144.91"/>
  </r>
  <r>
    <s v="BLG-0132"/>
    <x v="104"/>
    <s v="Sep"/>
    <x v="10"/>
    <x v="0"/>
    <x v="9"/>
    <x v="0"/>
    <x v="1"/>
    <x v="1"/>
    <x v="1"/>
    <n v="10523.48"/>
    <n v="105234.79999999999"/>
  </r>
  <r>
    <s v="BLG-0133"/>
    <x v="105"/>
    <s v="Jan"/>
    <x v="16"/>
    <x v="0"/>
    <x v="5"/>
    <x v="0"/>
    <x v="1"/>
    <x v="0"/>
    <x v="2"/>
    <n v="1961.07"/>
    <n v="15688.56"/>
  </r>
  <r>
    <s v="BLG-0134"/>
    <x v="87"/>
    <s v="Aug"/>
    <x v="2"/>
    <x v="0"/>
    <x v="5"/>
    <x v="0"/>
    <x v="1"/>
    <x v="0"/>
    <x v="1"/>
    <n v="2292.36"/>
    <n v="22923.600000000002"/>
  </r>
  <r>
    <s v="BLG-0135"/>
    <x v="106"/>
    <s v="Dec"/>
    <x v="4"/>
    <x v="0"/>
    <x v="7"/>
    <x v="0"/>
    <x v="1"/>
    <x v="1"/>
    <x v="6"/>
    <n v="8714.9500000000007"/>
    <n v="34859.800000000003"/>
  </r>
  <r>
    <s v="BLG-0136"/>
    <x v="107"/>
    <s v="May"/>
    <x v="12"/>
    <x v="0"/>
    <x v="5"/>
    <x v="0"/>
    <x v="1"/>
    <x v="0"/>
    <x v="6"/>
    <n v="924.14"/>
    <n v="3696.56"/>
  </r>
  <r>
    <s v="BLG-0137"/>
    <x v="108"/>
    <s v="Dec"/>
    <x v="7"/>
    <x v="0"/>
    <x v="2"/>
    <x v="0"/>
    <x v="1"/>
    <x v="3"/>
    <x v="9"/>
    <n v="788.73"/>
    <n v="4732.38"/>
  </r>
  <r>
    <s v="BLG-0138"/>
    <x v="109"/>
    <s v="Oct"/>
    <x v="5"/>
    <x v="1"/>
    <x v="9"/>
    <x v="0"/>
    <x v="1"/>
    <x v="1"/>
    <x v="24"/>
    <n v="24368.880000000001"/>
    <n v="609222"/>
  </r>
  <r>
    <s v="BLG-0139"/>
    <x v="110"/>
    <s v="Jul"/>
    <x v="3"/>
    <x v="0"/>
    <x v="1"/>
    <x v="0"/>
    <x v="1"/>
    <x v="1"/>
    <x v="16"/>
    <n v="1077.73"/>
    <n v="5388.65"/>
  </r>
  <r>
    <s v="BLG-0140"/>
    <x v="60"/>
    <s v="Apr"/>
    <x v="12"/>
    <x v="1"/>
    <x v="1"/>
    <x v="0"/>
    <x v="1"/>
    <x v="1"/>
    <x v="22"/>
    <n v="2939.62"/>
    <n v="49973.54"/>
  </r>
  <r>
    <s v="BLG-0141"/>
    <x v="86"/>
    <s v="Nov"/>
    <x v="16"/>
    <x v="0"/>
    <x v="1"/>
    <x v="0"/>
    <x v="0"/>
    <x v="2"/>
    <x v="3"/>
    <n v="308.26"/>
    <n v="616.52"/>
  </r>
  <r>
    <s v="BLG-0142"/>
    <x v="56"/>
    <s v="Nov"/>
    <x v="13"/>
    <x v="0"/>
    <x v="5"/>
    <x v="0"/>
    <x v="0"/>
    <x v="2"/>
    <x v="1"/>
    <n v="2076.63"/>
    <n v="20766.300000000003"/>
  </r>
  <r>
    <s v="BLG-0143"/>
    <x v="56"/>
    <s v="Nov"/>
    <x v="12"/>
    <x v="0"/>
    <x v="1"/>
    <x v="0"/>
    <x v="1"/>
    <x v="1"/>
    <x v="8"/>
    <n v="173.01"/>
    <n v="173.01"/>
  </r>
  <r>
    <s v="BLG-0144"/>
    <x v="27"/>
    <s v="Feb"/>
    <x v="4"/>
    <x v="0"/>
    <x v="1"/>
    <x v="0"/>
    <x v="1"/>
    <x v="0"/>
    <x v="3"/>
    <n v="402.84"/>
    <n v="805.68"/>
  </r>
  <r>
    <s v="BLG-0145"/>
    <x v="76"/>
    <s v="Sep"/>
    <x v="5"/>
    <x v="0"/>
    <x v="5"/>
    <x v="1"/>
    <x v="0"/>
    <x v="1"/>
    <x v="1"/>
    <n v="2510.4299999999998"/>
    <n v="25104.3"/>
  </r>
  <r>
    <s v="BLG-0146"/>
    <x v="111"/>
    <s v="Jun"/>
    <x v="13"/>
    <x v="0"/>
    <x v="4"/>
    <x v="0"/>
    <x v="0"/>
    <x v="2"/>
    <x v="3"/>
    <n v="6737.47"/>
    <n v="13474.94"/>
  </r>
  <r>
    <s v="BLG-0147"/>
    <x v="112"/>
    <s v="Aug"/>
    <x v="6"/>
    <x v="0"/>
    <x v="5"/>
    <x v="0"/>
    <x v="2"/>
    <x v="1"/>
    <x v="9"/>
    <n v="1527.69"/>
    <n v="9166.14"/>
  </r>
  <r>
    <s v="BLG-0148"/>
    <x v="105"/>
    <s v="Jan"/>
    <x v="12"/>
    <x v="0"/>
    <x v="1"/>
    <x v="0"/>
    <x v="1"/>
    <x v="2"/>
    <x v="1"/>
    <n v="2293.14"/>
    <n v="22931.399999999998"/>
  </r>
  <r>
    <s v="BLG-0149"/>
    <x v="113"/>
    <s v="Jun"/>
    <x v="3"/>
    <x v="0"/>
    <x v="1"/>
    <x v="0"/>
    <x v="2"/>
    <x v="0"/>
    <x v="7"/>
    <n v="1042.49"/>
    <n v="7297.43"/>
  </r>
  <r>
    <s v="BLG-0150"/>
    <x v="114"/>
    <s v="Feb"/>
    <x v="4"/>
    <x v="0"/>
    <x v="3"/>
    <x v="0"/>
    <x v="1"/>
    <x v="0"/>
    <x v="0"/>
    <n v="3917.51"/>
    <n v="35257.590000000004"/>
  </r>
  <r>
    <s v="BLG-0151"/>
    <x v="6"/>
    <s v="Dec"/>
    <x v="17"/>
    <x v="0"/>
    <x v="1"/>
    <x v="0"/>
    <x v="2"/>
    <x v="1"/>
    <x v="2"/>
    <n v="1245.8900000000001"/>
    <n v="9967.1200000000008"/>
  </r>
  <r>
    <s v="BLG-0152"/>
    <x v="115"/>
    <s v="Mar"/>
    <x v="16"/>
    <x v="0"/>
    <x v="2"/>
    <x v="0"/>
    <x v="0"/>
    <x v="2"/>
    <x v="0"/>
    <n v="834.46"/>
    <n v="7510.14"/>
  </r>
  <r>
    <s v="BLG-0153"/>
    <x v="3"/>
    <s v="Jun"/>
    <x v="16"/>
    <x v="0"/>
    <x v="1"/>
    <x v="0"/>
    <x v="0"/>
    <x v="0"/>
    <x v="14"/>
    <n v="638.66"/>
    <n v="1915.98"/>
  </r>
  <r>
    <s v="BLG-0154"/>
    <x v="116"/>
    <s v="Jan"/>
    <x v="17"/>
    <x v="0"/>
    <x v="6"/>
    <x v="3"/>
    <x v="0"/>
    <x v="2"/>
    <x v="2"/>
    <n v="1139.71"/>
    <n v="9117.68"/>
  </r>
  <r>
    <s v="BLG-0155"/>
    <x v="117"/>
    <s v="May"/>
    <x v="4"/>
    <x v="2"/>
    <x v="6"/>
    <x v="2"/>
    <x v="1"/>
    <x v="0"/>
    <x v="22"/>
    <n v="0"/>
    <n v="0"/>
  </r>
  <r>
    <s v="BLG-0156"/>
    <x v="118"/>
    <s v="Jul"/>
    <x v="9"/>
    <x v="0"/>
    <x v="4"/>
    <x v="1"/>
    <x v="0"/>
    <x v="1"/>
    <x v="16"/>
    <n v="12500.93"/>
    <n v="62504.65"/>
  </r>
  <r>
    <s v="BLG-0157"/>
    <x v="102"/>
    <s v="Jul"/>
    <x v="8"/>
    <x v="2"/>
    <x v="6"/>
    <x v="0"/>
    <x v="1"/>
    <x v="1"/>
    <x v="2"/>
    <n v="1386.79"/>
    <n v="11094.32"/>
  </r>
  <r>
    <s v="BLG-0158"/>
    <x v="119"/>
    <s v="Mar"/>
    <x v="17"/>
    <x v="0"/>
    <x v="8"/>
    <x v="1"/>
    <x v="0"/>
    <x v="3"/>
    <x v="7"/>
    <n v="2298.9499999999998"/>
    <n v="16092.649999999998"/>
  </r>
  <r>
    <s v="BLG-0159"/>
    <x v="120"/>
    <s v="Sep"/>
    <x v="7"/>
    <x v="0"/>
    <x v="4"/>
    <x v="0"/>
    <x v="1"/>
    <x v="3"/>
    <x v="14"/>
    <n v="11758.35"/>
    <n v="35275.050000000003"/>
  </r>
  <r>
    <s v="BLG-0160"/>
    <x v="121"/>
    <s v="Aug"/>
    <x v="16"/>
    <x v="1"/>
    <x v="9"/>
    <x v="0"/>
    <x v="2"/>
    <x v="1"/>
    <x v="15"/>
    <n v="14261.15"/>
    <n v="171133.8"/>
  </r>
  <r>
    <s v="BLG-0161"/>
    <x v="122"/>
    <s v="Oct"/>
    <x v="9"/>
    <x v="0"/>
    <x v="6"/>
    <x v="0"/>
    <x v="1"/>
    <x v="1"/>
    <x v="1"/>
    <n v="1638.83"/>
    <n v="16388.3"/>
  </r>
  <r>
    <s v="BLG-0162"/>
    <x v="123"/>
    <s v="Feb"/>
    <x v="13"/>
    <x v="0"/>
    <x v="1"/>
    <x v="0"/>
    <x v="1"/>
    <x v="1"/>
    <x v="7"/>
    <n v="946.18"/>
    <n v="6623.2599999999993"/>
  </r>
  <r>
    <s v="BLG-0163"/>
    <x v="124"/>
    <s v="Jun"/>
    <x v="11"/>
    <x v="0"/>
    <x v="1"/>
    <x v="0"/>
    <x v="1"/>
    <x v="1"/>
    <x v="0"/>
    <n v="1743.85"/>
    <n v="15694.65"/>
  </r>
  <r>
    <s v="BLG-0164"/>
    <x v="76"/>
    <s v="Sep"/>
    <x v="8"/>
    <x v="0"/>
    <x v="8"/>
    <x v="0"/>
    <x v="1"/>
    <x v="1"/>
    <x v="8"/>
    <n v="404.99"/>
    <n v="404.99"/>
  </r>
  <r>
    <s v="BLG-0165"/>
    <x v="25"/>
    <s v="Feb"/>
    <x v="7"/>
    <x v="0"/>
    <x v="3"/>
    <x v="0"/>
    <x v="0"/>
    <x v="2"/>
    <x v="14"/>
    <n v="1258.0899999999999"/>
    <n v="3774.2699999999995"/>
  </r>
  <r>
    <s v="BLG-0166"/>
    <x v="125"/>
    <s v="Oct"/>
    <x v="12"/>
    <x v="1"/>
    <x v="1"/>
    <x v="1"/>
    <x v="1"/>
    <x v="0"/>
    <x v="17"/>
    <n v="2449.06"/>
    <n v="26939.66"/>
  </r>
  <r>
    <s v="BLG-0167"/>
    <x v="126"/>
    <s v="Feb"/>
    <x v="6"/>
    <x v="0"/>
    <x v="1"/>
    <x v="1"/>
    <x v="0"/>
    <x v="1"/>
    <x v="16"/>
    <n v="953.31"/>
    <n v="4766.5499999999993"/>
  </r>
  <r>
    <s v="BLG-0168"/>
    <x v="127"/>
    <s v="Oct"/>
    <x v="13"/>
    <x v="0"/>
    <x v="6"/>
    <x v="0"/>
    <x v="1"/>
    <x v="2"/>
    <x v="9"/>
    <n v="877.37"/>
    <n v="5264.22"/>
  </r>
  <r>
    <s v="BLG-0169"/>
    <x v="128"/>
    <s v="Jul"/>
    <x v="17"/>
    <x v="1"/>
    <x v="6"/>
    <x v="2"/>
    <x v="1"/>
    <x v="4"/>
    <x v="13"/>
    <n v="0"/>
    <n v="0"/>
  </r>
  <r>
    <s v="BLG-0170"/>
    <x v="128"/>
    <s v="Jul"/>
    <x v="9"/>
    <x v="0"/>
    <x v="1"/>
    <x v="0"/>
    <x v="1"/>
    <x v="4"/>
    <x v="14"/>
    <n v="581.73"/>
    <n v="1745.19"/>
  </r>
  <r>
    <s v="BLG-0171"/>
    <x v="111"/>
    <s v="Jun"/>
    <x v="0"/>
    <x v="0"/>
    <x v="3"/>
    <x v="0"/>
    <x v="0"/>
    <x v="1"/>
    <x v="2"/>
    <n v="4151.21"/>
    <n v="33209.68"/>
  </r>
  <r>
    <s v="BLG-0172"/>
    <x v="129"/>
    <s v="Jan"/>
    <x v="7"/>
    <x v="0"/>
    <x v="9"/>
    <x v="0"/>
    <x v="0"/>
    <x v="1"/>
    <x v="7"/>
    <n v="6437.11"/>
    <n v="45059.77"/>
  </r>
  <r>
    <s v="BLG-0173"/>
    <x v="130"/>
    <s v="Dec"/>
    <x v="14"/>
    <x v="2"/>
    <x v="1"/>
    <x v="0"/>
    <x v="0"/>
    <x v="1"/>
    <x v="16"/>
    <n v="920.21"/>
    <n v="4601.05"/>
  </r>
  <r>
    <s v="BLG-0174"/>
    <x v="110"/>
    <s v="Jul"/>
    <x v="5"/>
    <x v="2"/>
    <x v="1"/>
    <x v="0"/>
    <x v="1"/>
    <x v="1"/>
    <x v="22"/>
    <n v="4199.01"/>
    <n v="71383.17"/>
  </r>
  <r>
    <s v="BLG-0175"/>
    <x v="104"/>
    <s v="Sep"/>
    <x v="7"/>
    <x v="0"/>
    <x v="3"/>
    <x v="0"/>
    <x v="1"/>
    <x v="2"/>
    <x v="2"/>
    <n v="4582"/>
    <n v="36656"/>
  </r>
  <r>
    <s v="BLG-0176"/>
    <x v="91"/>
    <s v="Oct"/>
    <x v="0"/>
    <x v="0"/>
    <x v="0"/>
    <x v="0"/>
    <x v="2"/>
    <x v="1"/>
    <x v="2"/>
    <n v="1809.82"/>
    <n v="14478.56"/>
  </r>
  <r>
    <s v="BLG-0177"/>
    <x v="131"/>
    <s v="Mar"/>
    <x v="3"/>
    <x v="0"/>
    <x v="8"/>
    <x v="0"/>
    <x v="1"/>
    <x v="0"/>
    <x v="9"/>
    <n v="2899.77"/>
    <n v="17398.62"/>
  </r>
  <r>
    <s v="BLG-0178"/>
    <x v="132"/>
    <s v="Feb"/>
    <x v="8"/>
    <x v="0"/>
    <x v="8"/>
    <x v="2"/>
    <x v="0"/>
    <x v="3"/>
    <x v="14"/>
    <n v="0"/>
    <n v="0"/>
  </r>
  <r>
    <s v="BLG-0179"/>
    <x v="36"/>
    <s v="Sep"/>
    <x v="11"/>
    <x v="0"/>
    <x v="1"/>
    <x v="0"/>
    <x v="0"/>
    <x v="1"/>
    <x v="0"/>
    <n v="1771.25"/>
    <n v="15941.25"/>
  </r>
  <r>
    <s v="BLG-0180"/>
    <x v="52"/>
    <s v="Aug"/>
    <x v="8"/>
    <x v="0"/>
    <x v="8"/>
    <x v="0"/>
    <x v="1"/>
    <x v="0"/>
    <x v="2"/>
    <n v="3579.8"/>
    <n v="28638.400000000001"/>
  </r>
  <r>
    <s v="BLG-0181"/>
    <x v="133"/>
    <s v="Jul"/>
    <x v="3"/>
    <x v="0"/>
    <x v="0"/>
    <x v="0"/>
    <x v="1"/>
    <x v="0"/>
    <x v="14"/>
    <n v="995.89"/>
    <n v="2987.67"/>
  </r>
  <r>
    <s v="BLG-0182"/>
    <x v="134"/>
    <s v="Oct"/>
    <x v="14"/>
    <x v="1"/>
    <x v="1"/>
    <x v="0"/>
    <x v="0"/>
    <x v="2"/>
    <x v="10"/>
    <n v="3333.56"/>
    <n v="73338.319999999992"/>
  </r>
  <r>
    <s v="BLG-0183"/>
    <x v="135"/>
    <s v="Mar"/>
    <x v="14"/>
    <x v="0"/>
    <x v="6"/>
    <x v="0"/>
    <x v="2"/>
    <x v="2"/>
    <x v="3"/>
    <n v="288.12"/>
    <n v="576.24"/>
  </r>
  <r>
    <s v="BLG-0184"/>
    <x v="58"/>
    <s v="Nov"/>
    <x v="8"/>
    <x v="0"/>
    <x v="3"/>
    <x v="0"/>
    <x v="1"/>
    <x v="0"/>
    <x v="1"/>
    <n v="7100.81"/>
    <n v="71008.100000000006"/>
  </r>
  <r>
    <s v="BLG-0185"/>
    <x v="14"/>
    <s v="Mar"/>
    <x v="14"/>
    <x v="1"/>
    <x v="6"/>
    <x v="0"/>
    <x v="0"/>
    <x v="0"/>
    <x v="9"/>
    <n v="766.78"/>
    <n v="4600.68"/>
  </r>
  <r>
    <s v="BLG-0186"/>
    <x v="95"/>
    <s v="Nov"/>
    <x v="2"/>
    <x v="1"/>
    <x v="6"/>
    <x v="0"/>
    <x v="0"/>
    <x v="0"/>
    <x v="20"/>
    <n v="3399.6"/>
    <n v="78190.8"/>
  </r>
  <r>
    <s v="BLG-0187"/>
    <x v="136"/>
    <s v="Jun"/>
    <x v="13"/>
    <x v="0"/>
    <x v="2"/>
    <x v="0"/>
    <x v="1"/>
    <x v="0"/>
    <x v="14"/>
    <n v="364.95"/>
    <n v="1094.8499999999999"/>
  </r>
  <r>
    <s v="BLG-0188"/>
    <x v="137"/>
    <s v="Sep"/>
    <x v="6"/>
    <x v="0"/>
    <x v="5"/>
    <x v="0"/>
    <x v="0"/>
    <x v="2"/>
    <x v="9"/>
    <n v="1762.5"/>
    <n v="10575"/>
  </r>
  <r>
    <s v="BLG-0189"/>
    <x v="138"/>
    <s v="Mar"/>
    <x v="7"/>
    <x v="0"/>
    <x v="1"/>
    <x v="0"/>
    <x v="1"/>
    <x v="1"/>
    <x v="14"/>
    <n v="436.37"/>
    <n v="1309.1100000000001"/>
  </r>
  <r>
    <s v="BLG-0190"/>
    <x v="107"/>
    <s v="May"/>
    <x v="5"/>
    <x v="1"/>
    <x v="9"/>
    <x v="3"/>
    <x v="2"/>
    <x v="2"/>
    <x v="21"/>
    <n v="26965.040000000001"/>
    <n v="647160.96"/>
  </r>
  <r>
    <s v="BLG-0191"/>
    <x v="139"/>
    <s v="Apr"/>
    <x v="14"/>
    <x v="0"/>
    <x v="5"/>
    <x v="0"/>
    <x v="1"/>
    <x v="1"/>
    <x v="7"/>
    <n v="1622.03"/>
    <n v="11354.21"/>
  </r>
  <r>
    <s v="BLG-0192"/>
    <x v="82"/>
    <s v="May"/>
    <x v="10"/>
    <x v="0"/>
    <x v="1"/>
    <x v="0"/>
    <x v="0"/>
    <x v="2"/>
    <x v="2"/>
    <n v="1326.89"/>
    <n v="10615.12"/>
  </r>
  <r>
    <s v="BLG-0193"/>
    <x v="31"/>
    <s v="Jan"/>
    <x v="0"/>
    <x v="0"/>
    <x v="8"/>
    <x v="1"/>
    <x v="0"/>
    <x v="1"/>
    <x v="7"/>
    <n v="2295.2399999999998"/>
    <n v="16066.679999999998"/>
  </r>
  <r>
    <s v="BLG-0194"/>
    <x v="91"/>
    <s v="Oct"/>
    <x v="10"/>
    <x v="0"/>
    <x v="0"/>
    <x v="0"/>
    <x v="1"/>
    <x v="0"/>
    <x v="1"/>
    <n v="3011.42"/>
    <n v="30114.2"/>
  </r>
  <r>
    <s v="BLG-0195"/>
    <x v="140"/>
    <s v="Mar"/>
    <x v="16"/>
    <x v="2"/>
    <x v="7"/>
    <x v="1"/>
    <x v="1"/>
    <x v="3"/>
    <x v="7"/>
    <n v="12339.23"/>
    <n v="86374.61"/>
  </r>
  <r>
    <s v="BLG-0196"/>
    <x v="92"/>
    <s v="Jan"/>
    <x v="1"/>
    <x v="0"/>
    <x v="7"/>
    <x v="0"/>
    <x v="1"/>
    <x v="0"/>
    <x v="0"/>
    <n v="13508.67"/>
    <n v="121578.03"/>
  </r>
  <r>
    <s v="BLG-0197"/>
    <x v="141"/>
    <s v="Jun"/>
    <x v="14"/>
    <x v="0"/>
    <x v="5"/>
    <x v="2"/>
    <x v="0"/>
    <x v="0"/>
    <x v="0"/>
    <n v="0"/>
    <n v="0"/>
  </r>
  <r>
    <s v="BLG-0198"/>
    <x v="142"/>
    <s v="Oct"/>
    <x v="4"/>
    <x v="0"/>
    <x v="1"/>
    <x v="0"/>
    <x v="1"/>
    <x v="1"/>
    <x v="16"/>
    <n v="1105.25"/>
    <n v="5526.25"/>
  </r>
  <r>
    <s v="BLG-0199"/>
    <x v="143"/>
    <s v="Nov"/>
    <x v="15"/>
    <x v="0"/>
    <x v="0"/>
    <x v="0"/>
    <x v="2"/>
    <x v="0"/>
    <x v="6"/>
    <n v="1230.1500000000001"/>
    <n v="4920.6000000000004"/>
  </r>
  <r>
    <s v="BLG-0200"/>
    <x v="144"/>
    <s v="Oct"/>
    <x v="13"/>
    <x v="0"/>
    <x v="3"/>
    <x v="0"/>
    <x v="0"/>
    <x v="1"/>
    <x v="6"/>
    <n v="1660.92"/>
    <n v="6643.68"/>
  </r>
  <r>
    <s v="BLG-0201"/>
    <x v="123"/>
    <s v="Feb"/>
    <x v="10"/>
    <x v="0"/>
    <x v="0"/>
    <x v="0"/>
    <x v="0"/>
    <x v="1"/>
    <x v="1"/>
    <n v="3386.01"/>
    <n v="33860.100000000006"/>
  </r>
  <r>
    <s v="BLG-0202"/>
    <x v="145"/>
    <s v="Feb"/>
    <x v="16"/>
    <x v="0"/>
    <x v="5"/>
    <x v="3"/>
    <x v="1"/>
    <x v="1"/>
    <x v="14"/>
    <n v="677.03"/>
    <n v="2031.09"/>
  </r>
  <r>
    <s v="BLG-0203"/>
    <x v="146"/>
    <s v="Sep"/>
    <x v="12"/>
    <x v="0"/>
    <x v="3"/>
    <x v="2"/>
    <x v="0"/>
    <x v="2"/>
    <x v="16"/>
    <n v="0"/>
    <n v="0"/>
  </r>
  <r>
    <s v="BLG-0204"/>
    <x v="147"/>
    <s v="Apr"/>
    <x v="11"/>
    <x v="0"/>
    <x v="0"/>
    <x v="3"/>
    <x v="2"/>
    <x v="2"/>
    <x v="6"/>
    <n v="1210.71"/>
    <n v="4842.84"/>
  </r>
  <r>
    <s v="BLG-0205"/>
    <x v="148"/>
    <s v="Sep"/>
    <x v="12"/>
    <x v="0"/>
    <x v="5"/>
    <x v="3"/>
    <x v="0"/>
    <x v="1"/>
    <x v="1"/>
    <n v="2543.14"/>
    <n v="25431.399999999998"/>
  </r>
  <r>
    <s v="BLG-0206"/>
    <x v="7"/>
    <s v="Jul"/>
    <x v="5"/>
    <x v="1"/>
    <x v="4"/>
    <x v="1"/>
    <x v="1"/>
    <x v="1"/>
    <x v="2"/>
    <n v="24520.14"/>
    <n v="196161.12"/>
  </r>
  <r>
    <s v="BLG-0207"/>
    <x v="88"/>
    <s v="May"/>
    <x v="13"/>
    <x v="0"/>
    <x v="2"/>
    <x v="0"/>
    <x v="1"/>
    <x v="1"/>
    <x v="3"/>
    <n v="268.66000000000003"/>
    <n v="537.32000000000005"/>
  </r>
  <r>
    <s v="BLG-0208"/>
    <x v="149"/>
    <s v="Oct"/>
    <x v="11"/>
    <x v="0"/>
    <x v="3"/>
    <x v="0"/>
    <x v="0"/>
    <x v="1"/>
    <x v="7"/>
    <n v="3584.11"/>
    <n v="25088.77"/>
  </r>
  <r>
    <s v="BLG-0209"/>
    <x v="121"/>
    <s v="Aug"/>
    <x v="0"/>
    <x v="1"/>
    <x v="1"/>
    <x v="3"/>
    <x v="2"/>
    <x v="1"/>
    <x v="13"/>
    <n v="3917.85"/>
    <n v="82274.849999999991"/>
  </r>
  <r>
    <s v="BLG-0210"/>
    <x v="150"/>
    <s v="Apr"/>
    <x v="4"/>
    <x v="0"/>
    <x v="3"/>
    <x v="2"/>
    <x v="1"/>
    <x v="0"/>
    <x v="0"/>
    <n v="0"/>
    <n v="0"/>
  </r>
  <r>
    <s v="BLG-0211"/>
    <x v="151"/>
    <s v="Jan"/>
    <x v="14"/>
    <x v="0"/>
    <x v="2"/>
    <x v="3"/>
    <x v="1"/>
    <x v="2"/>
    <x v="2"/>
    <n v="827.32"/>
    <n v="6618.56"/>
  </r>
  <r>
    <s v="BLG-0212"/>
    <x v="107"/>
    <s v="May"/>
    <x v="1"/>
    <x v="0"/>
    <x v="5"/>
    <x v="0"/>
    <x v="2"/>
    <x v="1"/>
    <x v="0"/>
    <n v="2107.89"/>
    <n v="18971.009999999998"/>
  </r>
  <r>
    <s v="BLG-0213"/>
    <x v="152"/>
    <s v="Mar"/>
    <x v="9"/>
    <x v="0"/>
    <x v="1"/>
    <x v="0"/>
    <x v="1"/>
    <x v="1"/>
    <x v="16"/>
    <n v="1063.04"/>
    <n v="5315.2"/>
  </r>
  <r>
    <s v="BLG-0214"/>
    <x v="73"/>
    <s v="Jan"/>
    <x v="12"/>
    <x v="1"/>
    <x v="5"/>
    <x v="1"/>
    <x v="1"/>
    <x v="2"/>
    <x v="23"/>
    <n v="4934.93"/>
    <n v="88828.74"/>
  </r>
  <r>
    <s v="BLG-0215"/>
    <x v="153"/>
    <s v="Sep"/>
    <x v="12"/>
    <x v="0"/>
    <x v="3"/>
    <x v="0"/>
    <x v="1"/>
    <x v="1"/>
    <x v="6"/>
    <n v="1628.85"/>
    <n v="6515.4"/>
  </r>
  <r>
    <s v="BLG-0216"/>
    <x v="154"/>
    <s v="Jul"/>
    <x v="11"/>
    <x v="0"/>
    <x v="0"/>
    <x v="0"/>
    <x v="0"/>
    <x v="0"/>
    <x v="16"/>
    <n v="1484.87"/>
    <n v="7424.3499999999995"/>
  </r>
  <r>
    <s v="BLG-0217"/>
    <x v="155"/>
    <s v="May"/>
    <x v="1"/>
    <x v="1"/>
    <x v="9"/>
    <x v="0"/>
    <x v="0"/>
    <x v="3"/>
    <x v="18"/>
    <n v="16589.48"/>
    <n v="248842.19999999998"/>
  </r>
  <r>
    <s v="BLG-0218"/>
    <x v="0"/>
    <s v="Nov"/>
    <x v="4"/>
    <x v="0"/>
    <x v="0"/>
    <x v="3"/>
    <x v="1"/>
    <x v="1"/>
    <x v="1"/>
    <n v="2532.85"/>
    <n v="25328.5"/>
  </r>
  <r>
    <s v="BLG-0219"/>
    <x v="61"/>
    <s v="Oct"/>
    <x v="13"/>
    <x v="1"/>
    <x v="2"/>
    <x v="2"/>
    <x v="0"/>
    <x v="0"/>
    <x v="24"/>
    <n v="0"/>
    <n v="0"/>
  </r>
  <r>
    <s v="BLG-0220"/>
    <x v="69"/>
    <s v="Feb"/>
    <x v="9"/>
    <x v="0"/>
    <x v="6"/>
    <x v="0"/>
    <x v="1"/>
    <x v="1"/>
    <x v="0"/>
    <n v="1860.1"/>
    <n v="16740.899999999998"/>
  </r>
  <r>
    <s v="BLG-0221"/>
    <x v="156"/>
    <s v="Apr"/>
    <x v="8"/>
    <x v="0"/>
    <x v="7"/>
    <x v="0"/>
    <x v="1"/>
    <x v="1"/>
    <x v="1"/>
    <n v="18779.34"/>
    <n v="187793.4"/>
  </r>
  <r>
    <s v="BLG-0222"/>
    <x v="77"/>
    <s v="Aug"/>
    <x v="1"/>
    <x v="0"/>
    <x v="5"/>
    <x v="0"/>
    <x v="1"/>
    <x v="0"/>
    <x v="16"/>
    <n v="1302.3599999999999"/>
    <n v="6511.7999999999993"/>
  </r>
  <r>
    <s v="BLG-0223"/>
    <x v="157"/>
    <s v="Jul"/>
    <x v="2"/>
    <x v="1"/>
    <x v="6"/>
    <x v="0"/>
    <x v="1"/>
    <x v="1"/>
    <x v="2"/>
    <n v="1375.61"/>
    <n v="11004.88"/>
  </r>
  <r>
    <s v="BLG-0224"/>
    <x v="22"/>
    <s v="Jan"/>
    <x v="3"/>
    <x v="2"/>
    <x v="9"/>
    <x v="0"/>
    <x v="1"/>
    <x v="1"/>
    <x v="11"/>
    <n v="17536.62"/>
    <n v="280585.92"/>
  </r>
  <r>
    <s v="BLG-0225"/>
    <x v="2"/>
    <s v="Aug"/>
    <x v="5"/>
    <x v="0"/>
    <x v="3"/>
    <x v="0"/>
    <x v="1"/>
    <x v="0"/>
    <x v="9"/>
    <n v="2660.62"/>
    <n v="15963.72"/>
  </r>
  <r>
    <s v="BLG-0226"/>
    <x v="158"/>
    <s v="Oct"/>
    <x v="5"/>
    <x v="0"/>
    <x v="6"/>
    <x v="0"/>
    <x v="1"/>
    <x v="1"/>
    <x v="16"/>
    <n v="822.24"/>
    <n v="4111.2"/>
  </r>
  <r>
    <s v="BLG-0227"/>
    <x v="127"/>
    <s v="Oct"/>
    <x v="17"/>
    <x v="0"/>
    <x v="2"/>
    <x v="0"/>
    <x v="1"/>
    <x v="1"/>
    <x v="3"/>
    <n v="184.64"/>
    <n v="369.28"/>
  </r>
  <r>
    <s v="BLG-0228"/>
    <x v="159"/>
    <s v="Dec"/>
    <x v="17"/>
    <x v="0"/>
    <x v="8"/>
    <x v="2"/>
    <x v="1"/>
    <x v="1"/>
    <x v="1"/>
    <n v="0"/>
    <n v="0"/>
  </r>
  <r>
    <s v="BLG-0229"/>
    <x v="75"/>
    <s v="Nov"/>
    <x v="1"/>
    <x v="0"/>
    <x v="1"/>
    <x v="0"/>
    <x v="1"/>
    <x v="2"/>
    <x v="8"/>
    <n v="150.13"/>
    <n v="150.13"/>
  </r>
  <r>
    <s v="BLG-0230"/>
    <x v="107"/>
    <s v="May"/>
    <x v="11"/>
    <x v="1"/>
    <x v="6"/>
    <x v="0"/>
    <x v="0"/>
    <x v="0"/>
    <x v="11"/>
    <n v="2283.88"/>
    <n v="36542.080000000002"/>
  </r>
  <r>
    <s v="BLG-0231"/>
    <x v="160"/>
    <s v="Mar"/>
    <x v="9"/>
    <x v="0"/>
    <x v="0"/>
    <x v="0"/>
    <x v="2"/>
    <x v="2"/>
    <x v="14"/>
    <n v="877.96"/>
    <n v="2633.88"/>
  </r>
  <r>
    <s v="BLG-0232"/>
    <x v="161"/>
    <s v="Aug"/>
    <x v="8"/>
    <x v="0"/>
    <x v="4"/>
    <x v="3"/>
    <x v="0"/>
    <x v="2"/>
    <x v="9"/>
    <n v="22421.47"/>
    <n v="134528.82"/>
  </r>
  <r>
    <s v="BLG-0233"/>
    <x v="162"/>
    <s v="Jun"/>
    <x v="5"/>
    <x v="0"/>
    <x v="5"/>
    <x v="0"/>
    <x v="1"/>
    <x v="2"/>
    <x v="14"/>
    <n v="814.09"/>
    <n v="2442.27"/>
  </r>
  <r>
    <s v="BLG-0234"/>
    <x v="163"/>
    <s v="Jan"/>
    <x v="8"/>
    <x v="0"/>
    <x v="9"/>
    <x v="0"/>
    <x v="1"/>
    <x v="1"/>
    <x v="9"/>
    <n v="6486.73"/>
    <n v="38920.379999999997"/>
  </r>
  <r>
    <s v="BLG-0235"/>
    <x v="164"/>
    <s v="Aug"/>
    <x v="7"/>
    <x v="0"/>
    <x v="6"/>
    <x v="0"/>
    <x v="1"/>
    <x v="0"/>
    <x v="1"/>
    <n v="1237.97"/>
    <n v="12379.7"/>
  </r>
  <r>
    <s v="BLG-0236"/>
    <x v="27"/>
    <s v="Feb"/>
    <x v="10"/>
    <x v="1"/>
    <x v="5"/>
    <x v="0"/>
    <x v="1"/>
    <x v="1"/>
    <x v="11"/>
    <n v="3280.33"/>
    <n v="52485.279999999999"/>
  </r>
  <r>
    <s v="BLG-0237"/>
    <x v="73"/>
    <s v="Jan"/>
    <x v="10"/>
    <x v="2"/>
    <x v="4"/>
    <x v="0"/>
    <x v="2"/>
    <x v="0"/>
    <x v="1"/>
    <n v="43167.33"/>
    <n v="431673.30000000005"/>
  </r>
  <r>
    <s v="BLG-0238"/>
    <x v="117"/>
    <s v="May"/>
    <x v="8"/>
    <x v="0"/>
    <x v="0"/>
    <x v="0"/>
    <x v="0"/>
    <x v="1"/>
    <x v="9"/>
    <n v="1650"/>
    <n v="9900"/>
  </r>
  <r>
    <s v="BLG-0239"/>
    <x v="165"/>
    <s v="Sep"/>
    <x v="6"/>
    <x v="0"/>
    <x v="4"/>
    <x v="0"/>
    <x v="0"/>
    <x v="3"/>
    <x v="3"/>
    <n v="6001.62"/>
    <n v="12003.24"/>
  </r>
  <r>
    <s v="BLG-0240"/>
    <x v="81"/>
    <s v="Mar"/>
    <x v="15"/>
    <x v="0"/>
    <x v="8"/>
    <x v="0"/>
    <x v="1"/>
    <x v="1"/>
    <x v="9"/>
    <n v="2237.79"/>
    <n v="13426.74"/>
  </r>
  <r>
    <s v="BLG-0241"/>
    <x v="166"/>
    <s v="Oct"/>
    <x v="11"/>
    <x v="0"/>
    <x v="3"/>
    <x v="0"/>
    <x v="1"/>
    <x v="2"/>
    <x v="2"/>
    <n v="4434.47"/>
    <n v="35475.760000000002"/>
  </r>
  <r>
    <s v="BLG-0242"/>
    <x v="124"/>
    <s v="Jun"/>
    <x v="14"/>
    <x v="0"/>
    <x v="5"/>
    <x v="0"/>
    <x v="0"/>
    <x v="4"/>
    <x v="8"/>
    <n v="234.16"/>
    <n v="234.16"/>
  </r>
  <r>
    <s v="BLG-0243"/>
    <x v="167"/>
    <s v="Feb"/>
    <x v="1"/>
    <x v="1"/>
    <x v="9"/>
    <x v="2"/>
    <x v="1"/>
    <x v="0"/>
    <x v="9"/>
    <n v="0"/>
    <n v="0"/>
  </r>
  <r>
    <s v="BLG-0244"/>
    <x v="83"/>
    <s v="Aug"/>
    <x v="7"/>
    <x v="0"/>
    <x v="3"/>
    <x v="3"/>
    <x v="2"/>
    <x v="0"/>
    <x v="8"/>
    <n v="407.14"/>
    <n v="407.14"/>
  </r>
  <r>
    <s v="BLG-0245"/>
    <x v="134"/>
    <s v="Oct"/>
    <x v="17"/>
    <x v="0"/>
    <x v="5"/>
    <x v="0"/>
    <x v="2"/>
    <x v="1"/>
    <x v="7"/>
    <n v="1899.9"/>
    <n v="13299.300000000001"/>
  </r>
  <r>
    <s v="BLG-0246"/>
    <x v="168"/>
    <s v="Apr"/>
    <x v="0"/>
    <x v="2"/>
    <x v="5"/>
    <x v="0"/>
    <x v="0"/>
    <x v="1"/>
    <x v="4"/>
    <n v="3111.15"/>
    <n v="43556.1"/>
  </r>
  <r>
    <s v="BLG-0247"/>
    <x v="169"/>
    <s v="Jul"/>
    <x v="5"/>
    <x v="0"/>
    <x v="0"/>
    <x v="0"/>
    <x v="1"/>
    <x v="2"/>
    <x v="3"/>
    <n v="593.97"/>
    <n v="1187.94"/>
  </r>
  <r>
    <s v="BLG-0248"/>
    <x v="170"/>
    <s v="Nov"/>
    <x v="1"/>
    <x v="0"/>
    <x v="7"/>
    <x v="0"/>
    <x v="1"/>
    <x v="1"/>
    <x v="14"/>
    <n v="4317.8999999999996"/>
    <n v="12953.699999999999"/>
  </r>
  <r>
    <s v="BLG-0249"/>
    <x v="86"/>
    <s v="Nov"/>
    <x v="12"/>
    <x v="0"/>
    <x v="2"/>
    <x v="0"/>
    <x v="1"/>
    <x v="1"/>
    <x v="6"/>
    <n v="619.57000000000005"/>
    <n v="2478.2800000000002"/>
  </r>
  <r>
    <s v="BLG-0250"/>
    <x v="171"/>
    <s v="Oct"/>
    <x v="13"/>
    <x v="0"/>
    <x v="8"/>
    <x v="0"/>
    <x v="1"/>
    <x v="0"/>
    <x v="8"/>
    <n v="360.2"/>
    <n v="360.2"/>
  </r>
  <r>
    <s v="BLG-0251"/>
    <x v="8"/>
    <s v="Jun"/>
    <x v="15"/>
    <x v="2"/>
    <x v="5"/>
    <x v="1"/>
    <x v="0"/>
    <x v="1"/>
    <x v="16"/>
    <n v="1160.1500000000001"/>
    <n v="5800.75"/>
  </r>
  <r>
    <s v="BLG-0252"/>
    <x v="171"/>
    <s v="Oct"/>
    <x v="5"/>
    <x v="1"/>
    <x v="5"/>
    <x v="0"/>
    <x v="0"/>
    <x v="2"/>
    <x v="2"/>
    <n v="1848.84"/>
    <n v="14790.72"/>
  </r>
  <r>
    <s v="BLG-0253"/>
    <x v="57"/>
    <s v="Jun"/>
    <x v="1"/>
    <x v="0"/>
    <x v="0"/>
    <x v="0"/>
    <x v="0"/>
    <x v="0"/>
    <x v="1"/>
    <n v="2568.86"/>
    <n v="25688.600000000002"/>
  </r>
  <r>
    <s v="BLG-0254"/>
    <x v="172"/>
    <s v="Jun"/>
    <x v="15"/>
    <x v="1"/>
    <x v="6"/>
    <x v="0"/>
    <x v="1"/>
    <x v="0"/>
    <x v="23"/>
    <n v="2906.23"/>
    <n v="52312.14"/>
  </r>
  <r>
    <s v="BLG-0255"/>
    <x v="173"/>
    <s v="Dec"/>
    <x v="5"/>
    <x v="0"/>
    <x v="5"/>
    <x v="1"/>
    <x v="0"/>
    <x v="1"/>
    <x v="14"/>
    <n v="645.48"/>
    <n v="1936.44"/>
  </r>
  <r>
    <s v="BLG-0256"/>
    <x v="42"/>
    <s v="Nov"/>
    <x v="16"/>
    <x v="1"/>
    <x v="0"/>
    <x v="0"/>
    <x v="1"/>
    <x v="1"/>
    <x v="22"/>
    <n v="5334.09"/>
    <n v="90679.53"/>
  </r>
  <r>
    <s v="BLG-0257"/>
    <x v="174"/>
    <s v="Feb"/>
    <x v="16"/>
    <x v="0"/>
    <x v="9"/>
    <x v="0"/>
    <x v="1"/>
    <x v="1"/>
    <x v="3"/>
    <n v="1828.46"/>
    <n v="3656.92"/>
  </r>
  <r>
    <s v="BLG-0258"/>
    <x v="175"/>
    <s v="Feb"/>
    <x v="12"/>
    <x v="1"/>
    <x v="1"/>
    <x v="0"/>
    <x v="0"/>
    <x v="2"/>
    <x v="20"/>
    <n v="5353.54"/>
    <n v="123131.42"/>
  </r>
  <r>
    <s v="BLG-0259"/>
    <x v="19"/>
    <s v="May"/>
    <x v="9"/>
    <x v="0"/>
    <x v="7"/>
    <x v="0"/>
    <x v="1"/>
    <x v="0"/>
    <x v="3"/>
    <n v="3061.17"/>
    <n v="6122.34"/>
  </r>
  <r>
    <s v="BLG-0260"/>
    <x v="162"/>
    <s v="Jun"/>
    <x v="13"/>
    <x v="1"/>
    <x v="7"/>
    <x v="3"/>
    <x v="0"/>
    <x v="0"/>
    <x v="14"/>
    <n v="4683.58"/>
    <n v="14050.74"/>
  </r>
  <r>
    <s v="BLG-0261"/>
    <x v="176"/>
    <s v="Jan"/>
    <x v="5"/>
    <x v="0"/>
    <x v="3"/>
    <x v="1"/>
    <x v="1"/>
    <x v="1"/>
    <x v="1"/>
    <n v="4491.04"/>
    <n v="44910.400000000001"/>
  </r>
  <r>
    <s v="BLG-0262"/>
    <x v="111"/>
    <s v="Jun"/>
    <x v="10"/>
    <x v="0"/>
    <x v="1"/>
    <x v="0"/>
    <x v="1"/>
    <x v="2"/>
    <x v="2"/>
    <n v="1916.15"/>
    <n v="15329.2"/>
  </r>
  <r>
    <s v="BLG-0263"/>
    <x v="19"/>
    <s v="May"/>
    <x v="12"/>
    <x v="0"/>
    <x v="2"/>
    <x v="0"/>
    <x v="1"/>
    <x v="0"/>
    <x v="1"/>
    <n v="1618.03"/>
    <n v="16180.3"/>
  </r>
  <r>
    <s v="BLG-0264"/>
    <x v="177"/>
    <s v="Apr"/>
    <x v="8"/>
    <x v="0"/>
    <x v="6"/>
    <x v="3"/>
    <x v="1"/>
    <x v="2"/>
    <x v="3"/>
    <n v="397.24"/>
    <n v="794.48"/>
  </r>
  <r>
    <s v="BLG-0265"/>
    <x v="133"/>
    <s v="Jul"/>
    <x v="13"/>
    <x v="0"/>
    <x v="0"/>
    <x v="0"/>
    <x v="1"/>
    <x v="1"/>
    <x v="7"/>
    <n v="1445.77"/>
    <n v="10120.39"/>
  </r>
  <r>
    <s v="BLG-0266"/>
    <x v="75"/>
    <s v="Nov"/>
    <x v="13"/>
    <x v="0"/>
    <x v="5"/>
    <x v="3"/>
    <x v="0"/>
    <x v="1"/>
    <x v="8"/>
    <n v="269.38"/>
    <n v="269.38"/>
  </r>
  <r>
    <s v="BLG-0267"/>
    <x v="178"/>
    <s v="Jul"/>
    <x v="8"/>
    <x v="0"/>
    <x v="8"/>
    <x v="0"/>
    <x v="1"/>
    <x v="0"/>
    <x v="14"/>
    <n v="1434.13"/>
    <n v="4302.3900000000003"/>
  </r>
  <r>
    <s v="BLG-0268"/>
    <x v="116"/>
    <s v="Jan"/>
    <x v="5"/>
    <x v="2"/>
    <x v="7"/>
    <x v="1"/>
    <x v="1"/>
    <x v="1"/>
    <x v="1"/>
    <n v="21445.83"/>
    <n v="214458.30000000002"/>
  </r>
  <r>
    <s v="BLG-0269"/>
    <x v="179"/>
    <s v="Oct"/>
    <x v="11"/>
    <x v="0"/>
    <x v="7"/>
    <x v="1"/>
    <x v="0"/>
    <x v="0"/>
    <x v="9"/>
    <n v="14565.11"/>
    <n v="87390.66"/>
  </r>
  <r>
    <s v="BLG-0270"/>
    <x v="39"/>
    <s v="Jun"/>
    <x v="17"/>
    <x v="2"/>
    <x v="1"/>
    <x v="2"/>
    <x v="0"/>
    <x v="1"/>
    <x v="5"/>
    <n v="0"/>
    <n v="0"/>
  </r>
  <r>
    <s v="BLG-0271"/>
    <x v="137"/>
    <s v="Sep"/>
    <x v="7"/>
    <x v="0"/>
    <x v="9"/>
    <x v="0"/>
    <x v="1"/>
    <x v="1"/>
    <x v="3"/>
    <n v="1450.75"/>
    <n v="2901.5"/>
  </r>
  <r>
    <s v="BLG-0272"/>
    <x v="30"/>
    <s v="Jun"/>
    <x v="0"/>
    <x v="1"/>
    <x v="1"/>
    <x v="3"/>
    <x v="1"/>
    <x v="1"/>
    <x v="17"/>
    <n v="1878.22"/>
    <n v="20660.420000000002"/>
  </r>
  <r>
    <s v="BLG-0273"/>
    <x v="161"/>
    <s v="Aug"/>
    <x v="6"/>
    <x v="0"/>
    <x v="9"/>
    <x v="0"/>
    <x v="0"/>
    <x v="1"/>
    <x v="8"/>
    <n v="1132.81"/>
    <n v="1132.81"/>
  </r>
  <r>
    <s v="BLG-0274"/>
    <x v="180"/>
    <s v="Apr"/>
    <x v="6"/>
    <x v="0"/>
    <x v="7"/>
    <x v="1"/>
    <x v="1"/>
    <x v="2"/>
    <x v="3"/>
    <n v="3947.07"/>
    <n v="7894.14"/>
  </r>
  <r>
    <s v="BLG-0275"/>
    <x v="62"/>
    <s v="Oct"/>
    <x v="14"/>
    <x v="0"/>
    <x v="1"/>
    <x v="0"/>
    <x v="0"/>
    <x v="0"/>
    <x v="9"/>
    <n v="1196.8399999999999"/>
    <n v="7181.0399999999991"/>
  </r>
  <r>
    <s v="BLG-0276"/>
    <x v="43"/>
    <s v="Nov"/>
    <x v="5"/>
    <x v="0"/>
    <x v="7"/>
    <x v="2"/>
    <x v="0"/>
    <x v="2"/>
    <x v="16"/>
    <n v="0"/>
    <n v="0"/>
  </r>
  <r>
    <s v="BLG-0277"/>
    <x v="90"/>
    <s v="Dec"/>
    <x v="16"/>
    <x v="0"/>
    <x v="0"/>
    <x v="0"/>
    <x v="1"/>
    <x v="1"/>
    <x v="7"/>
    <n v="1821.72"/>
    <n v="12752.04"/>
  </r>
  <r>
    <s v="BLG-0278"/>
    <x v="115"/>
    <s v="Mar"/>
    <x v="5"/>
    <x v="0"/>
    <x v="9"/>
    <x v="0"/>
    <x v="2"/>
    <x v="3"/>
    <x v="14"/>
    <n v="3086.4"/>
    <n v="9259.2000000000007"/>
  </r>
  <r>
    <s v="BLG-0279"/>
    <x v="148"/>
    <s v="Sep"/>
    <x v="4"/>
    <x v="0"/>
    <x v="0"/>
    <x v="0"/>
    <x v="1"/>
    <x v="1"/>
    <x v="8"/>
    <n v="270.60000000000002"/>
    <n v="270.60000000000002"/>
  </r>
  <r>
    <s v="BLG-0280"/>
    <x v="181"/>
    <s v="Apr"/>
    <x v="5"/>
    <x v="2"/>
    <x v="5"/>
    <x v="0"/>
    <x v="0"/>
    <x v="1"/>
    <x v="22"/>
    <n v="4145.1099999999997"/>
    <n v="70466.87"/>
  </r>
  <r>
    <s v="BLG-0281"/>
    <x v="97"/>
    <s v="Jan"/>
    <x v="11"/>
    <x v="0"/>
    <x v="0"/>
    <x v="0"/>
    <x v="1"/>
    <x v="1"/>
    <x v="2"/>
    <n v="2246.06"/>
    <n v="17968.48"/>
  </r>
  <r>
    <s v="BLG-0282"/>
    <x v="15"/>
    <s v="Feb"/>
    <x v="0"/>
    <x v="0"/>
    <x v="5"/>
    <x v="3"/>
    <x v="1"/>
    <x v="2"/>
    <x v="2"/>
    <n v="1896.95"/>
    <n v="15175.6"/>
  </r>
  <r>
    <s v="BLG-0283"/>
    <x v="182"/>
    <s v="Aug"/>
    <x v="0"/>
    <x v="1"/>
    <x v="3"/>
    <x v="0"/>
    <x v="0"/>
    <x v="1"/>
    <x v="4"/>
    <n v="7251.15"/>
    <n v="101516.09999999999"/>
  </r>
  <r>
    <s v="BLG-0284"/>
    <x v="183"/>
    <s v="Feb"/>
    <x v="6"/>
    <x v="1"/>
    <x v="1"/>
    <x v="1"/>
    <x v="1"/>
    <x v="2"/>
    <x v="22"/>
    <n v="3875.89"/>
    <n v="65890.13"/>
  </r>
  <r>
    <s v="BLG-0285"/>
    <x v="43"/>
    <s v="Nov"/>
    <x v="17"/>
    <x v="0"/>
    <x v="1"/>
    <x v="0"/>
    <x v="1"/>
    <x v="1"/>
    <x v="9"/>
    <n v="1154.92"/>
    <n v="6929.52"/>
  </r>
  <r>
    <s v="BLG-0286"/>
    <x v="11"/>
    <s v="Nov"/>
    <x v="8"/>
    <x v="0"/>
    <x v="4"/>
    <x v="0"/>
    <x v="1"/>
    <x v="3"/>
    <x v="0"/>
    <n v="38629.24"/>
    <n v="347663.16"/>
  </r>
  <r>
    <s v="BLG-0287"/>
    <x v="184"/>
    <s v="Feb"/>
    <x v="16"/>
    <x v="2"/>
    <x v="6"/>
    <x v="2"/>
    <x v="2"/>
    <x v="2"/>
    <x v="7"/>
    <n v="0"/>
    <n v="0"/>
  </r>
  <r>
    <s v="BLG-0288"/>
    <x v="81"/>
    <s v="Mar"/>
    <x v="12"/>
    <x v="1"/>
    <x v="6"/>
    <x v="0"/>
    <x v="1"/>
    <x v="0"/>
    <x v="4"/>
    <n v="2523.7800000000002"/>
    <n v="35332.920000000006"/>
  </r>
  <r>
    <s v="BLG-0289"/>
    <x v="185"/>
    <s v="Jul"/>
    <x v="6"/>
    <x v="0"/>
    <x v="2"/>
    <x v="1"/>
    <x v="1"/>
    <x v="2"/>
    <x v="9"/>
    <n v="736.43"/>
    <n v="4418.58"/>
  </r>
  <r>
    <s v="BLG-0290"/>
    <x v="186"/>
    <s v="Sep"/>
    <x v="12"/>
    <x v="0"/>
    <x v="2"/>
    <x v="2"/>
    <x v="1"/>
    <x v="4"/>
    <x v="9"/>
    <n v="0"/>
    <n v="0"/>
  </r>
  <r>
    <s v="BLG-0291"/>
    <x v="187"/>
    <s v="Oct"/>
    <x v="5"/>
    <x v="0"/>
    <x v="9"/>
    <x v="0"/>
    <x v="1"/>
    <x v="2"/>
    <x v="9"/>
    <n v="6146.8"/>
    <n v="36880.800000000003"/>
  </r>
  <r>
    <s v="BLG-0292"/>
    <x v="138"/>
    <s v="Mar"/>
    <x v="13"/>
    <x v="1"/>
    <x v="8"/>
    <x v="1"/>
    <x v="1"/>
    <x v="0"/>
    <x v="12"/>
    <n v="6382.06"/>
    <n v="127641.20000000001"/>
  </r>
  <r>
    <s v="BLG-0293"/>
    <x v="188"/>
    <s v="Mar"/>
    <x v="6"/>
    <x v="0"/>
    <x v="4"/>
    <x v="0"/>
    <x v="2"/>
    <x v="3"/>
    <x v="16"/>
    <n v="13526.18"/>
    <n v="67630.899999999994"/>
  </r>
  <r>
    <s v="BLG-0294"/>
    <x v="189"/>
    <s v="May"/>
    <x v="3"/>
    <x v="1"/>
    <x v="0"/>
    <x v="0"/>
    <x v="2"/>
    <x v="1"/>
    <x v="23"/>
    <n v="5266.7"/>
    <n v="94800.599999999991"/>
  </r>
  <r>
    <s v="BLG-0295"/>
    <x v="78"/>
    <s v="Apr"/>
    <x v="17"/>
    <x v="1"/>
    <x v="6"/>
    <x v="0"/>
    <x v="1"/>
    <x v="1"/>
    <x v="5"/>
    <n v="2208.27"/>
    <n v="28707.51"/>
  </r>
  <r>
    <s v="BLG-0296"/>
    <x v="190"/>
    <s v="Aug"/>
    <x v="15"/>
    <x v="0"/>
    <x v="7"/>
    <x v="0"/>
    <x v="0"/>
    <x v="0"/>
    <x v="2"/>
    <n v="11411.96"/>
    <n v="91295.679999999993"/>
  </r>
  <r>
    <s v="BLG-0297"/>
    <x v="174"/>
    <s v="Feb"/>
    <x v="0"/>
    <x v="0"/>
    <x v="8"/>
    <x v="0"/>
    <x v="0"/>
    <x v="2"/>
    <x v="14"/>
    <n v="1430.03"/>
    <n v="4290.09"/>
  </r>
  <r>
    <s v="BLG-0298"/>
    <x v="89"/>
    <s v="Dec"/>
    <x v="16"/>
    <x v="0"/>
    <x v="5"/>
    <x v="0"/>
    <x v="1"/>
    <x v="1"/>
    <x v="6"/>
    <n v="991.63"/>
    <n v="3966.52"/>
  </r>
  <r>
    <s v="BLG-0299"/>
    <x v="191"/>
    <s v="Mar"/>
    <x v="17"/>
    <x v="0"/>
    <x v="9"/>
    <x v="0"/>
    <x v="0"/>
    <x v="1"/>
    <x v="3"/>
    <n v="2097.11"/>
    <n v="4194.22"/>
  </r>
  <r>
    <s v="BLG-0300"/>
    <x v="154"/>
    <s v="Jul"/>
    <x v="7"/>
    <x v="2"/>
    <x v="0"/>
    <x v="0"/>
    <x v="1"/>
    <x v="1"/>
    <x v="15"/>
    <n v="4381.53"/>
    <n v="52578.36"/>
  </r>
  <r>
    <s v="BLG-0301"/>
    <x v="192"/>
    <s v="Dec"/>
    <x v="4"/>
    <x v="0"/>
    <x v="5"/>
    <x v="0"/>
    <x v="1"/>
    <x v="0"/>
    <x v="6"/>
    <n v="921.3"/>
    <n v="3685.2"/>
  </r>
  <r>
    <s v="BLG-0302"/>
    <x v="15"/>
    <s v="Feb"/>
    <x v="11"/>
    <x v="0"/>
    <x v="5"/>
    <x v="0"/>
    <x v="2"/>
    <x v="4"/>
    <x v="9"/>
    <n v="1094.53"/>
    <n v="6567.18"/>
  </r>
  <r>
    <s v="BLG-0303"/>
    <x v="166"/>
    <s v="Oct"/>
    <x v="17"/>
    <x v="0"/>
    <x v="3"/>
    <x v="1"/>
    <x v="2"/>
    <x v="2"/>
    <x v="8"/>
    <n v="595.30999999999995"/>
    <n v="595.30999999999995"/>
  </r>
  <r>
    <s v="BLG-0304"/>
    <x v="73"/>
    <s v="Jan"/>
    <x v="2"/>
    <x v="0"/>
    <x v="8"/>
    <x v="3"/>
    <x v="1"/>
    <x v="1"/>
    <x v="0"/>
    <n v="4574.8100000000004"/>
    <n v="41173.29"/>
  </r>
  <r>
    <s v="BLG-0305"/>
    <x v="1"/>
    <s v="Aug"/>
    <x v="5"/>
    <x v="0"/>
    <x v="5"/>
    <x v="0"/>
    <x v="1"/>
    <x v="1"/>
    <x v="0"/>
    <n v="2579.06"/>
    <n v="23211.54"/>
  </r>
  <r>
    <s v="BLG-0306"/>
    <x v="193"/>
    <s v="Mar"/>
    <x v="8"/>
    <x v="0"/>
    <x v="5"/>
    <x v="1"/>
    <x v="0"/>
    <x v="0"/>
    <x v="16"/>
    <n v="1286.1300000000001"/>
    <n v="6430.6500000000005"/>
  </r>
  <r>
    <s v="BLG-0307"/>
    <x v="117"/>
    <s v="May"/>
    <x v="1"/>
    <x v="0"/>
    <x v="8"/>
    <x v="0"/>
    <x v="0"/>
    <x v="1"/>
    <x v="14"/>
    <n v="1035.3"/>
    <n v="3105.8999999999996"/>
  </r>
  <r>
    <s v="BLG-0308"/>
    <x v="115"/>
    <s v="Mar"/>
    <x v="15"/>
    <x v="0"/>
    <x v="4"/>
    <x v="0"/>
    <x v="0"/>
    <x v="2"/>
    <x v="14"/>
    <n v="9341.9699999999993"/>
    <n v="28025.909999999996"/>
  </r>
  <r>
    <s v="BLG-0309"/>
    <x v="194"/>
    <s v="May"/>
    <x v="0"/>
    <x v="1"/>
    <x v="1"/>
    <x v="1"/>
    <x v="1"/>
    <x v="1"/>
    <x v="21"/>
    <n v="4866.57"/>
    <n v="116797.68"/>
  </r>
  <r>
    <s v="BLG-0310"/>
    <x v="165"/>
    <s v="Sep"/>
    <x v="6"/>
    <x v="0"/>
    <x v="1"/>
    <x v="2"/>
    <x v="1"/>
    <x v="1"/>
    <x v="3"/>
    <n v="0"/>
    <n v="0"/>
  </r>
  <r>
    <s v="BLG-0311"/>
    <x v="195"/>
    <s v="Dec"/>
    <x v="0"/>
    <x v="0"/>
    <x v="5"/>
    <x v="0"/>
    <x v="0"/>
    <x v="1"/>
    <x v="2"/>
    <n v="1704.36"/>
    <n v="13634.88"/>
  </r>
  <r>
    <s v="BLG-0312"/>
    <x v="196"/>
    <s v="Mar"/>
    <x v="14"/>
    <x v="2"/>
    <x v="2"/>
    <x v="0"/>
    <x v="2"/>
    <x v="2"/>
    <x v="11"/>
    <n v="1846.83"/>
    <n v="29549.279999999999"/>
  </r>
  <r>
    <s v="BLG-0313"/>
    <x v="141"/>
    <s v="Jun"/>
    <x v="2"/>
    <x v="1"/>
    <x v="5"/>
    <x v="0"/>
    <x v="0"/>
    <x v="1"/>
    <x v="5"/>
    <n v="3525.24"/>
    <n v="45828.119999999995"/>
  </r>
  <r>
    <s v="BLG-0314"/>
    <x v="92"/>
    <s v="Jan"/>
    <x v="5"/>
    <x v="0"/>
    <x v="9"/>
    <x v="0"/>
    <x v="0"/>
    <x v="1"/>
    <x v="0"/>
    <n v="8755.61"/>
    <n v="78800.490000000005"/>
  </r>
  <r>
    <s v="BLG-0315"/>
    <x v="128"/>
    <s v="Jul"/>
    <x v="10"/>
    <x v="0"/>
    <x v="6"/>
    <x v="1"/>
    <x v="1"/>
    <x v="1"/>
    <x v="2"/>
    <n v="1726.3"/>
    <n v="13810.4"/>
  </r>
  <r>
    <s v="BLG-0316"/>
    <x v="197"/>
    <s v="Apr"/>
    <x v="8"/>
    <x v="1"/>
    <x v="0"/>
    <x v="0"/>
    <x v="1"/>
    <x v="1"/>
    <x v="22"/>
    <n v="5001.5200000000004"/>
    <n v="85025.840000000011"/>
  </r>
  <r>
    <s v="BLG-0317"/>
    <x v="31"/>
    <s v="Jan"/>
    <x v="12"/>
    <x v="0"/>
    <x v="3"/>
    <x v="2"/>
    <x v="0"/>
    <x v="1"/>
    <x v="0"/>
    <n v="0"/>
    <n v="0"/>
  </r>
  <r>
    <s v="BLG-0318"/>
    <x v="198"/>
    <s v="Aug"/>
    <x v="13"/>
    <x v="2"/>
    <x v="4"/>
    <x v="0"/>
    <x v="1"/>
    <x v="1"/>
    <x v="1"/>
    <n v="46503.6"/>
    <n v="465036"/>
  </r>
  <r>
    <s v="BLG-0319"/>
    <x v="102"/>
    <s v="Jul"/>
    <x v="6"/>
    <x v="2"/>
    <x v="1"/>
    <x v="0"/>
    <x v="1"/>
    <x v="2"/>
    <x v="16"/>
    <n v="1053.6500000000001"/>
    <n v="5268.25"/>
  </r>
  <r>
    <s v="BLG-0320"/>
    <x v="199"/>
    <s v="Dec"/>
    <x v="16"/>
    <x v="0"/>
    <x v="0"/>
    <x v="0"/>
    <x v="0"/>
    <x v="0"/>
    <x v="9"/>
    <n v="1467.7"/>
    <n v="8806.2000000000007"/>
  </r>
  <r>
    <s v="BLG-0321"/>
    <x v="200"/>
    <s v="May"/>
    <x v="11"/>
    <x v="0"/>
    <x v="1"/>
    <x v="1"/>
    <x v="0"/>
    <x v="1"/>
    <x v="14"/>
    <n v="550.66"/>
    <n v="1651.98"/>
  </r>
  <r>
    <s v="BLG-0322"/>
    <x v="101"/>
    <s v="Jun"/>
    <x v="17"/>
    <x v="0"/>
    <x v="7"/>
    <x v="1"/>
    <x v="1"/>
    <x v="0"/>
    <x v="3"/>
    <n v="2895.31"/>
    <n v="5790.62"/>
  </r>
  <r>
    <s v="BLG-0323"/>
    <x v="66"/>
    <s v="Jun"/>
    <x v="1"/>
    <x v="0"/>
    <x v="2"/>
    <x v="0"/>
    <x v="0"/>
    <x v="4"/>
    <x v="7"/>
    <n v="888.78"/>
    <n v="6221.46"/>
  </r>
  <r>
    <s v="BLG-0324"/>
    <x v="89"/>
    <s v="Dec"/>
    <x v="4"/>
    <x v="0"/>
    <x v="4"/>
    <x v="0"/>
    <x v="1"/>
    <x v="1"/>
    <x v="0"/>
    <n v="25917.45"/>
    <n v="233257.05000000002"/>
  </r>
  <r>
    <s v="BLG-0325"/>
    <x v="201"/>
    <s v="Mar"/>
    <x v="0"/>
    <x v="0"/>
    <x v="2"/>
    <x v="3"/>
    <x v="1"/>
    <x v="2"/>
    <x v="9"/>
    <n v="836.48"/>
    <n v="5018.88"/>
  </r>
  <r>
    <s v="BLG-0326"/>
    <x v="86"/>
    <s v="Nov"/>
    <x v="3"/>
    <x v="0"/>
    <x v="0"/>
    <x v="1"/>
    <x v="1"/>
    <x v="1"/>
    <x v="2"/>
    <n v="2570"/>
    <n v="20560"/>
  </r>
  <r>
    <s v="BLG-0327"/>
    <x v="175"/>
    <s v="Feb"/>
    <x v="12"/>
    <x v="0"/>
    <x v="4"/>
    <x v="0"/>
    <x v="2"/>
    <x v="1"/>
    <x v="7"/>
    <n v="23467.94"/>
    <n v="164275.57999999999"/>
  </r>
  <r>
    <s v="BLG-0328"/>
    <x v="161"/>
    <s v="Aug"/>
    <x v="14"/>
    <x v="0"/>
    <x v="8"/>
    <x v="0"/>
    <x v="1"/>
    <x v="1"/>
    <x v="1"/>
    <n v="4710.32"/>
    <n v="47103.199999999997"/>
  </r>
  <r>
    <s v="BLG-0329"/>
    <x v="202"/>
    <s v="May"/>
    <x v="4"/>
    <x v="0"/>
    <x v="8"/>
    <x v="0"/>
    <x v="1"/>
    <x v="1"/>
    <x v="7"/>
    <n v="2556.84"/>
    <n v="17897.88"/>
  </r>
  <r>
    <s v="BLG-0330"/>
    <x v="203"/>
    <s v="Sep"/>
    <x v="11"/>
    <x v="1"/>
    <x v="2"/>
    <x v="1"/>
    <x v="2"/>
    <x v="2"/>
    <x v="22"/>
    <n v="2117.13"/>
    <n v="35991.21"/>
  </r>
  <r>
    <s v="BLG-0331"/>
    <x v="16"/>
    <s v="Sep"/>
    <x v="7"/>
    <x v="2"/>
    <x v="5"/>
    <x v="0"/>
    <x v="1"/>
    <x v="1"/>
    <x v="1"/>
    <n v="1978.46"/>
    <n v="19784.599999999999"/>
  </r>
  <r>
    <s v="BLG-0332"/>
    <x v="94"/>
    <s v="May"/>
    <x v="1"/>
    <x v="1"/>
    <x v="9"/>
    <x v="0"/>
    <x v="0"/>
    <x v="1"/>
    <x v="17"/>
    <n v="8465.34"/>
    <n v="93118.74"/>
  </r>
  <r>
    <s v="BLG-0333"/>
    <x v="204"/>
    <s v="Dec"/>
    <x v="11"/>
    <x v="0"/>
    <x v="2"/>
    <x v="2"/>
    <x v="1"/>
    <x v="4"/>
    <x v="6"/>
    <n v="0"/>
    <n v="0"/>
  </r>
  <r>
    <s v="BLG-0334"/>
    <x v="205"/>
    <s v="Jul"/>
    <x v="7"/>
    <x v="2"/>
    <x v="4"/>
    <x v="0"/>
    <x v="1"/>
    <x v="1"/>
    <x v="4"/>
    <n v="61322.28"/>
    <n v="858511.91999999993"/>
  </r>
  <r>
    <s v="BLG-0335"/>
    <x v="171"/>
    <s v="Oct"/>
    <x v="16"/>
    <x v="0"/>
    <x v="1"/>
    <x v="3"/>
    <x v="0"/>
    <x v="0"/>
    <x v="16"/>
    <n v="769.8"/>
    <n v="3849"/>
  </r>
  <r>
    <s v="BLG-0336"/>
    <x v="151"/>
    <s v="Jan"/>
    <x v="3"/>
    <x v="0"/>
    <x v="5"/>
    <x v="0"/>
    <x v="1"/>
    <x v="1"/>
    <x v="1"/>
    <n v="1915.93"/>
    <n v="19159.3"/>
  </r>
  <r>
    <s v="BLG-0337"/>
    <x v="138"/>
    <s v="Mar"/>
    <x v="12"/>
    <x v="1"/>
    <x v="8"/>
    <x v="2"/>
    <x v="1"/>
    <x v="1"/>
    <x v="21"/>
    <n v="0"/>
    <n v="0"/>
  </r>
  <r>
    <s v="BLG-0338"/>
    <x v="206"/>
    <s v="Mar"/>
    <x v="0"/>
    <x v="1"/>
    <x v="2"/>
    <x v="3"/>
    <x v="1"/>
    <x v="3"/>
    <x v="23"/>
    <n v="2379.48"/>
    <n v="42830.64"/>
  </r>
  <r>
    <s v="BLG-0339"/>
    <x v="3"/>
    <s v="Jun"/>
    <x v="4"/>
    <x v="0"/>
    <x v="4"/>
    <x v="1"/>
    <x v="1"/>
    <x v="0"/>
    <x v="14"/>
    <n v="10939.28"/>
    <n v="32817.840000000004"/>
  </r>
  <r>
    <s v="BLG-0340"/>
    <x v="207"/>
    <s v="Apr"/>
    <x v="14"/>
    <x v="0"/>
    <x v="6"/>
    <x v="0"/>
    <x v="1"/>
    <x v="1"/>
    <x v="1"/>
    <n v="1575.94"/>
    <n v="15759.400000000001"/>
  </r>
  <r>
    <s v="BLG-0341"/>
    <x v="171"/>
    <s v="Oct"/>
    <x v="1"/>
    <x v="0"/>
    <x v="0"/>
    <x v="1"/>
    <x v="0"/>
    <x v="0"/>
    <x v="3"/>
    <n v="682.25"/>
    <n v="1364.5"/>
  </r>
  <r>
    <s v="BLG-0342"/>
    <x v="206"/>
    <s v="Mar"/>
    <x v="12"/>
    <x v="1"/>
    <x v="0"/>
    <x v="3"/>
    <x v="1"/>
    <x v="2"/>
    <x v="2"/>
    <n v="2585.4299999999998"/>
    <n v="20683.439999999999"/>
  </r>
  <r>
    <s v="BLG-0343"/>
    <x v="6"/>
    <s v="Dec"/>
    <x v="12"/>
    <x v="0"/>
    <x v="0"/>
    <x v="0"/>
    <x v="1"/>
    <x v="1"/>
    <x v="3"/>
    <n v="614.77"/>
    <n v="1229.54"/>
  </r>
  <r>
    <s v="BLG-0344"/>
    <x v="208"/>
    <s v="Jan"/>
    <x v="5"/>
    <x v="0"/>
    <x v="9"/>
    <x v="0"/>
    <x v="1"/>
    <x v="2"/>
    <x v="9"/>
    <n v="6142.4"/>
    <n v="36854.399999999994"/>
  </r>
  <r>
    <s v="BLG-0345"/>
    <x v="63"/>
    <s v="Feb"/>
    <x v="13"/>
    <x v="1"/>
    <x v="5"/>
    <x v="1"/>
    <x v="1"/>
    <x v="1"/>
    <x v="7"/>
    <n v="1427.5"/>
    <n v="9992.5"/>
  </r>
  <r>
    <s v="BLG-0346"/>
    <x v="141"/>
    <s v="Jun"/>
    <x v="2"/>
    <x v="2"/>
    <x v="1"/>
    <x v="0"/>
    <x v="1"/>
    <x v="2"/>
    <x v="16"/>
    <n v="1027.0999999999999"/>
    <n v="5135.5"/>
  </r>
  <r>
    <s v="BLG-0347"/>
    <x v="137"/>
    <s v="Sep"/>
    <x v="15"/>
    <x v="0"/>
    <x v="3"/>
    <x v="0"/>
    <x v="1"/>
    <x v="1"/>
    <x v="9"/>
    <n v="2829.59"/>
    <n v="16977.54"/>
  </r>
  <r>
    <s v="BLG-0348"/>
    <x v="139"/>
    <s v="Apr"/>
    <x v="17"/>
    <x v="1"/>
    <x v="6"/>
    <x v="1"/>
    <x v="1"/>
    <x v="1"/>
    <x v="5"/>
    <n v="1679.7"/>
    <n v="21836.100000000002"/>
  </r>
  <r>
    <s v="BLG-0349"/>
    <x v="209"/>
    <s v="Jul"/>
    <x v="8"/>
    <x v="1"/>
    <x v="1"/>
    <x v="0"/>
    <x v="1"/>
    <x v="1"/>
    <x v="24"/>
    <n v="4671.8900000000003"/>
    <n v="116797.25000000001"/>
  </r>
  <r>
    <s v="BLG-0350"/>
    <x v="210"/>
    <s v="Feb"/>
    <x v="15"/>
    <x v="0"/>
    <x v="3"/>
    <x v="3"/>
    <x v="1"/>
    <x v="1"/>
    <x v="7"/>
    <n v="3903.1"/>
    <n v="27321.7"/>
  </r>
  <r>
    <s v="BLG-0351"/>
    <x v="159"/>
    <s v="Dec"/>
    <x v="2"/>
    <x v="0"/>
    <x v="5"/>
    <x v="0"/>
    <x v="0"/>
    <x v="1"/>
    <x v="2"/>
    <n v="1367.12"/>
    <n v="10936.96"/>
  </r>
  <r>
    <s v="BLG-0352"/>
    <x v="211"/>
    <s v="Aug"/>
    <x v="6"/>
    <x v="0"/>
    <x v="2"/>
    <x v="0"/>
    <x v="1"/>
    <x v="0"/>
    <x v="3"/>
    <n v="192.34"/>
    <n v="384.68"/>
  </r>
  <r>
    <s v="BLG-0353"/>
    <x v="212"/>
    <s v="Jun"/>
    <x v="8"/>
    <x v="0"/>
    <x v="6"/>
    <x v="0"/>
    <x v="1"/>
    <x v="1"/>
    <x v="0"/>
    <n v="1441.7"/>
    <n v="12975.300000000001"/>
  </r>
  <r>
    <s v="BLG-0354"/>
    <x v="62"/>
    <s v="Oct"/>
    <x v="13"/>
    <x v="0"/>
    <x v="0"/>
    <x v="0"/>
    <x v="1"/>
    <x v="2"/>
    <x v="8"/>
    <n v="273.33"/>
    <n v="273.33"/>
  </r>
  <r>
    <s v="BLG-0355"/>
    <x v="213"/>
    <s v="Sep"/>
    <x v="16"/>
    <x v="0"/>
    <x v="6"/>
    <x v="0"/>
    <x v="2"/>
    <x v="4"/>
    <x v="6"/>
    <n v="528.46"/>
    <n v="2113.84"/>
  </r>
  <r>
    <s v="BLG-0356"/>
    <x v="1"/>
    <s v="Aug"/>
    <x v="3"/>
    <x v="2"/>
    <x v="9"/>
    <x v="3"/>
    <x v="0"/>
    <x v="2"/>
    <x v="17"/>
    <n v="11407.9"/>
    <n v="125486.9"/>
  </r>
  <r>
    <s v="BLG-0357"/>
    <x v="25"/>
    <s v="Feb"/>
    <x v="3"/>
    <x v="0"/>
    <x v="7"/>
    <x v="0"/>
    <x v="1"/>
    <x v="1"/>
    <x v="8"/>
    <n v="2199.4699999999998"/>
    <n v="2199.4699999999998"/>
  </r>
  <r>
    <s v="BLG-0358"/>
    <x v="26"/>
    <s v="Sep"/>
    <x v="17"/>
    <x v="0"/>
    <x v="1"/>
    <x v="0"/>
    <x v="0"/>
    <x v="4"/>
    <x v="3"/>
    <n v="469.78"/>
    <n v="939.56"/>
  </r>
  <r>
    <s v="BLG-0359"/>
    <x v="142"/>
    <s v="Oct"/>
    <x v="0"/>
    <x v="1"/>
    <x v="2"/>
    <x v="2"/>
    <x v="0"/>
    <x v="1"/>
    <x v="13"/>
    <n v="0"/>
    <n v="0"/>
  </r>
  <r>
    <s v="BLG-0360"/>
    <x v="214"/>
    <s v="Aug"/>
    <x v="1"/>
    <x v="0"/>
    <x v="9"/>
    <x v="0"/>
    <x v="0"/>
    <x v="1"/>
    <x v="7"/>
    <n v="8536.9"/>
    <n v="59758.299999999996"/>
  </r>
  <r>
    <s v="BLG-0361"/>
    <x v="215"/>
    <s v="Jun"/>
    <x v="11"/>
    <x v="0"/>
    <x v="9"/>
    <x v="0"/>
    <x v="1"/>
    <x v="1"/>
    <x v="16"/>
    <n v="4448.71"/>
    <n v="22243.55"/>
  </r>
  <r>
    <s v="BLG-0362"/>
    <x v="216"/>
    <s v="Sep"/>
    <x v="0"/>
    <x v="2"/>
    <x v="0"/>
    <x v="0"/>
    <x v="0"/>
    <x v="2"/>
    <x v="5"/>
    <n v="3428.09"/>
    <n v="44565.17"/>
  </r>
  <r>
    <s v="BLG-0363"/>
    <x v="86"/>
    <s v="Nov"/>
    <x v="3"/>
    <x v="0"/>
    <x v="1"/>
    <x v="2"/>
    <x v="0"/>
    <x v="2"/>
    <x v="9"/>
    <n v="0"/>
    <n v="0"/>
  </r>
  <r>
    <s v="BLG-0364"/>
    <x v="153"/>
    <s v="Sep"/>
    <x v="14"/>
    <x v="0"/>
    <x v="6"/>
    <x v="0"/>
    <x v="0"/>
    <x v="0"/>
    <x v="1"/>
    <n v="1227.79"/>
    <n v="12277.9"/>
  </r>
  <r>
    <s v="BLG-0365"/>
    <x v="147"/>
    <s v="Apr"/>
    <x v="10"/>
    <x v="1"/>
    <x v="0"/>
    <x v="0"/>
    <x v="2"/>
    <x v="0"/>
    <x v="4"/>
    <n v="3534.48"/>
    <n v="49482.720000000001"/>
  </r>
  <r>
    <s v="BLG-0366"/>
    <x v="217"/>
    <s v="Aug"/>
    <x v="9"/>
    <x v="0"/>
    <x v="8"/>
    <x v="0"/>
    <x v="1"/>
    <x v="0"/>
    <x v="2"/>
    <n v="2878.01"/>
    <n v="23024.080000000002"/>
  </r>
  <r>
    <s v="BLG-0367"/>
    <x v="214"/>
    <s v="Aug"/>
    <x v="8"/>
    <x v="0"/>
    <x v="1"/>
    <x v="2"/>
    <x v="0"/>
    <x v="0"/>
    <x v="16"/>
    <n v="0"/>
    <n v="0"/>
  </r>
  <r>
    <s v="BLG-0368"/>
    <x v="218"/>
    <s v="Jan"/>
    <x v="14"/>
    <x v="1"/>
    <x v="6"/>
    <x v="0"/>
    <x v="1"/>
    <x v="1"/>
    <x v="15"/>
    <n v="1749.98"/>
    <n v="20999.760000000002"/>
  </r>
  <r>
    <s v="BLG-0369"/>
    <x v="133"/>
    <s v="Jul"/>
    <x v="9"/>
    <x v="0"/>
    <x v="6"/>
    <x v="1"/>
    <x v="1"/>
    <x v="3"/>
    <x v="14"/>
    <n v="533.13"/>
    <n v="1599.3899999999999"/>
  </r>
  <r>
    <s v="BLG-0370"/>
    <x v="31"/>
    <s v="Jan"/>
    <x v="11"/>
    <x v="0"/>
    <x v="2"/>
    <x v="0"/>
    <x v="2"/>
    <x v="0"/>
    <x v="7"/>
    <n v="1081.32"/>
    <n v="7569.24"/>
  </r>
  <r>
    <s v="BLG-0371"/>
    <x v="219"/>
    <s v="Jun"/>
    <x v="6"/>
    <x v="0"/>
    <x v="9"/>
    <x v="0"/>
    <x v="0"/>
    <x v="1"/>
    <x v="3"/>
    <n v="1433.38"/>
    <n v="2866.76"/>
  </r>
  <r>
    <s v="BLG-0372"/>
    <x v="199"/>
    <s v="Dec"/>
    <x v="7"/>
    <x v="0"/>
    <x v="5"/>
    <x v="0"/>
    <x v="0"/>
    <x v="0"/>
    <x v="9"/>
    <n v="1772.78"/>
    <n v="10636.68"/>
  </r>
  <r>
    <s v="BLG-0373"/>
    <x v="0"/>
    <s v="Nov"/>
    <x v="12"/>
    <x v="1"/>
    <x v="0"/>
    <x v="1"/>
    <x v="0"/>
    <x v="1"/>
    <x v="1"/>
    <n v="2756.98"/>
    <n v="27569.8"/>
  </r>
  <r>
    <s v="BLG-0374"/>
    <x v="82"/>
    <s v="May"/>
    <x v="1"/>
    <x v="1"/>
    <x v="2"/>
    <x v="0"/>
    <x v="0"/>
    <x v="0"/>
    <x v="9"/>
    <n v="823.13"/>
    <n v="4938.78"/>
  </r>
  <r>
    <s v="BLG-0375"/>
    <x v="39"/>
    <s v="Jun"/>
    <x v="2"/>
    <x v="2"/>
    <x v="9"/>
    <x v="1"/>
    <x v="0"/>
    <x v="4"/>
    <x v="0"/>
    <n v="9456.14"/>
    <n v="85105.26"/>
  </r>
  <r>
    <s v="BLG-0376"/>
    <x v="187"/>
    <s v="Oct"/>
    <x v="13"/>
    <x v="2"/>
    <x v="3"/>
    <x v="0"/>
    <x v="0"/>
    <x v="2"/>
    <x v="2"/>
    <n v="4484.1400000000003"/>
    <n v="35873.120000000003"/>
  </r>
  <r>
    <s v="BLG-0377"/>
    <x v="59"/>
    <s v="May"/>
    <x v="8"/>
    <x v="1"/>
    <x v="1"/>
    <x v="0"/>
    <x v="1"/>
    <x v="1"/>
    <x v="22"/>
    <n v="2705.03"/>
    <n v="45985.51"/>
  </r>
  <r>
    <s v="BLG-0378"/>
    <x v="68"/>
    <s v="Jun"/>
    <x v="17"/>
    <x v="1"/>
    <x v="7"/>
    <x v="0"/>
    <x v="1"/>
    <x v="2"/>
    <x v="13"/>
    <n v="29567.39"/>
    <n v="620915.18999999994"/>
  </r>
  <r>
    <s v="BLG-0379"/>
    <x v="220"/>
    <s v="Oct"/>
    <x v="3"/>
    <x v="0"/>
    <x v="1"/>
    <x v="0"/>
    <x v="0"/>
    <x v="0"/>
    <x v="7"/>
    <n v="985.87"/>
    <n v="6901.09"/>
  </r>
  <r>
    <s v="BLG-0380"/>
    <x v="191"/>
    <s v="Mar"/>
    <x v="16"/>
    <x v="2"/>
    <x v="7"/>
    <x v="3"/>
    <x v="0"/>
    <x v="4"/>
    <x v="7"/>
    <n v="13705.18"/>
    <n v="95936.260000000009"/>
  </r>
  <r>
    <s v="BLG-0381"/>
    <x v="186"/>
    <s v="Sep"/>
    <x v="12"/>
    <x v="1"/>
    <x v="1"/>
    <x v="0"/>
    <x v="1"/>
    <x v="1"/>
    <x v="17"/>
    <n v="2169.62"/>
    <n v="23865.82"/>
  </r>
  <r>
    <s v="BLG-0382"/>
    <x v="221"/>
    <s v="Mar"/>
    <x v="13"/>
    <x v="1"/>
    <x v="6"/>
    <x v="0"/>
    <x v="1"/>
    <x v="1"/>
    <x v="19"/>
    <n v="4040.76"/>
    <n v="76774.44"/>
  </r>
  <r>
    <s v="BLG-0383"/>
    <x v="154"/>
    <s v="Jul"/>
    <x v="15"/>
    <x v="0"/>
    <x v="1"/>
    <x v="0"/>
    <x v="1"/>
    <x v="1"/>
    <x v="0"/>
    <n v="1400.24"/>
    <n v="12602.16"/>
  </r>
  <r>
    <s v="BLG-0384"/>
    <x v="89"/>
    <s v="Dec"/>
    <x v="15"/>
    <x v="1"/>
    <x v="0"/>
    <x v="0"/>
    <x v="1"/>
    <x v="1"/>
    <x v="23"/>
    <n v="4923.37"/>
    <n v="88620.66"/>
  </r>
  <r>
    <s v="BLG-0385"/>
    <x v="222"/>
    <s v="Jun"/>
    <x v="14"/>
    <x v="0"/>
    <x v="1"/>
    <x v="3"/>
    <x v="1"/>
    <x v="0"/>
    <x v="0"/>
    <n v="1543.38"/>
    <n v="13890.420000000002"/>
  </r>
  <r>
    <s v="BLG-0386"/>
    <x v="152"/>
    <s v="Mar"/>
    <x v="12"/>
    <x v="2"/>
    <x v="5"/>
    <x v="1"/>
    <x v="1"/>
    <x v="3"/>
    <x v="18"/>
    <n v="2723.06"/>
    <n v="40845.9"/>
  </r>
  <r>
    <s v="BLG-0387"/>
    <x v="223"/>
    <s v="Mar"/>
    <x v="10"/>
    <x v="1"/>
    <x v="5"/>
    <x v="0"/>
    <x v="1"/>
    <x v="0"/>
    <x v="7"/>
    <n v="1501.68"/>
    <n v="10511.76"/>
  </r>
  <r>
    <s v="BLG-0388"/>
    <x v="0"/>
    <s v="Nov"/>
    <x v="2"/>
    <x v="1"/>
    <x v="3"/>
    <x v="0"/>
    <x v="1"/>
    <x v="1"/>
    <x v="9"/>
    <n v="2523.77"/>
    <n v="15142.619999999999"/>
  </r>
  <r>
    <s v="BLG-0389"/>
    <x v="224"/>
    <s v="Mar"/>
    <x v="17"/>
    <x v="0"/>
    <x v="1"/>
    <x v="0"/>
    <x v="0"/>
    <x v="1"/>
    <x v="8"/>
    <n v="167.52"/>
    <n v="167.52"/>
  </r>
  <r>
    <s v="BLG-0390"/>
    <x v="159"/>
    <s v="Dec"/>
    <x v="0"/>
    <x v="1"/>
    <x v="0"/>
    <x v="0"/>
    <x v="1"/>
    <x v="2"/>
    <x v="0"/>
    <n v="2473.27"/>
    <n v="22259.43"/>
  </r>
  <r>
    <s v="BLG-0391"/>
    <x v="225"/>
    <s v="Nov"/>
    <x v="0"/>
    <x v="0"/>
    <x v="6"/>
    <x v="0"/>
    <x v="0"/>
    <x v="2"/>
    <x v="0"/>
    <n v="1920.78"/>
    <n v="17287.02"/>
  </r>
  <r>
    <s v="BLG-0392"/>
    <x v="226"/>
    <s v="Jul"/>
    <x v="17"/>
    <x v="0"/>
    <x v="1"/>
    <x v="0"/>
    <x v="1"/>
    <x v="3"/>
    <x v="9"/>
    <n v="961.96"/>
    <n v="5771.76"/>
  </r>
  <r>
    <s v="BLG-0393"/>
    <x v="227"/>
    <s v="Jan"/>
    <x v="3"/>
    <x v="2"/>
    <x v="2"/>
    <x v="0"/>
    <x v="1"/>
    <x v="1"/>
    <x v="16"/>
    <n v="756.8"/>
    <n v="3784"/>
  </r>
  <r>
    <s v="BLG-0394"/>
    <x v="88"/>
    <s v="May"/>
    <x v="11"/>
    <x v="0"/>
    <x v="4"/>
    <x v="0"/>
    <x v="1"/>
    <x v="2"/>
    <x v="8"/>
    <n v="4036.32"/>
    <n v="4036.32"/>
  </r>
  <r>
    <s v="BLG-0395"/>
    <x v="89"/>
    <s v="Dec"/>
    <x v="12"/>
    <x v="0"/>
    <x v="1"/>
    <x v="2"/>
    <x v="0"/>
    <x v="1"/>
    <x v="14"/>
    <n v="0"/>
    <n v="0"/>
  </r>
  <r>
    <s v="BLG-0396"/>
    <x v="228"/>
    <s v="Mar"/>
    <x v="12"/>
    <x v="0"/>
    <x v="9"/>
    <x v="0"/>
    <x v="0"/>
    <x v="1"/>
    <x v="9"/>
    <n v="4900.41"/>
    <n v="29402.46"/>
  </r>
  <r>
    <s v="BLG-0397"/>
    <x v="229"/>
    <s v="Jul"/>
    <x v="5"/>
    <x v="2"/>
    <x v="0"/>
    <x v="0"/>
    <x v="0"/>
    <x v="2"/>
    <x v="2"/>
    <n v="1963.79"/>
    <n v="15710.32"/>
  </r>
  <r>
    <s v="BLG-0398"/>
    <x v="22"/>
    <s v="Jan"/>
    <x v="14"/>
    <x v="0"/>
    <x v="8"/>
    <x v="0"/>
    <x v="1"/>
    <x v="1"/>
    <x v="1"/>
    <n v="4106.97"/>
    <n v="41069.700000000004"/>
  </r>
  <r>
    <s v="BLG-0399"/>
    <x v="226"/>
    <s v="Jul"/>
    <x v="15"/>
    <x v="1"/>
    <x v="8"/>
    <x v="1"/>
    <x v="0"/>
    <x v="0"/>
    <x v="13"/>
    <n v="7212.67"/>
    <n v="151466.07"/>
  </r>
  <r>
    <s v="BLG-0400"/>
    <x v="230"/>
    <s v="Jul"/>
    <x v="6"/>
    <x v="0"/>
    <x v="0"/>
    <x v="0"/>
    <x v="0"/>
    <x v="0"/>
    <x v="1"/>
    <n v="3079.09"/>
    <n v="30790.9"/>
  </r>
  <r>
    <s v="BLG-0401"/>
    <x v="207"/>
    <s v="Apr"/>
    <x v="12"/>
    <x v="0"/>
    <x v="3"/>
    <x v="0"/>
    <x v="1"/>
    <x v="2"/>
    <x v="2"/>
    <n v="4136.18"/>
    <n v="33089.440000000002"/>
  </r>
  <r>
    <s v="BLG-0402"/>
    <x v="89"/>
    <s v="Dec"/>
    <x v="5"/>
    <x v="0"/>
    <x v="2"/>
    <x v="2"/>
    <x v="0"/>
    <x v="1"/>
    <x v="14"/>
    <n v="0"/>
    <n v="0"/>
  </r>
  <r>
    <s v="BLG-0403"/>
    <x v="231"/>
    <s v="Aug"/>
    <x v="13"/>
    <x v="1"/>
    <x v="1"/>
    <x v="0"/>
    <x v="1"/>
    <x v="4"/>
    <x v="7"/>
    <n v="1328.24"/>
    <n v="9297.68"/>
  </r>
  <r>
    <s v="BLG-0404"/>
    <x v="61"/>
    <s v="Oct"/>
    <x v="5"/>
    <x v="0"/>
    <x v="0"/>
    <x v="0"/>
    <x v="0"/>
    <x v="1"/>
    <x v="2"/>
    <n v="2117.94"/>
    <n v="16943.52"/>
  </r>
  <r>
    <s v="BLG-0405"/>
    <x v="140"/>
    <s v="Mar"/>
    <x v="13"/>
    <x v="1"/>
    <x v="1"/>
    <x v="0"/>
    <x v="1"/>
    <x v="0"/>
    <x v="2"/>
    <n v="1764.1"/>
    <n v="14112.8"/>
  </r>
  <r>
    <s v="BLG-0406"/>
    <x v="225"/>
    <s v="Nov"/>
    <x v="4"/>
    <x v="1"/>
    <x v="5"/>
    <x v="0"/>
    <x v="1"/>
    <x v="1"/>
    <x v="7"/>
    <n v="1909.53"/>
    <n v="13366.71"/>
  </r>
  <r>
    <s v="BLG-0407"/>
    <x v="99"/>
    <s v="Aug"/>
    <x v="12"/>
    <x v="0"/>
    <x v="5"/>
    <x v="0"/>
    <x v="0"/>
    <x v="0"/>
    <x v="3"/>
    <n v="355.72"/>
    <n v="711.44"/>
  </r>
  <r>
    <s v="BLG-0408"/>
    <x v="192"/>
    <s v="Dec"/>
    <x v="11"/>
    <x v="0"/>
    <x v="7"/>
    <x v="0"/>
    <x v="0"/>
    <x v="0"/>
    <x v="3"/>
    <n v="4216.53"/>
    <n v="8433.06"/>
  </r>
  <r>
    <s v="BLG-0409"/>
    <x v="232"/>
    <s v="Sep"/>
    <x v="16"/>
    <x v="1"/>
    <x v="6"/>
    <x v="0"/>
    <x v="1"/>
    <x v="1"/>
    <x v="0"/>
    <n v="1883.71"/>
    <n v="16953.39"/>
  </r>
  <r>
    <s v="BLG-0410"/>
    <x v="209"/>
    <s v="Jul"/>
    <x v="10"/>
    <x v="0"/>
    <x v="6"/>
    <x v="1"/>
    <x v="1"/>
    <x v="1"/>
    <x v="1"/>
    <n v="1318.29"/>
    <n v="13182.9"/>
  </r>
  <r>
    <s v="BLG-0411"/>
    <x v="164"/>
    <s v="Aug"/>
    <x v="6"/>
    <x v="1"/>
    <x v="4"/>
    <x v="0"/>
    <x v="1"/>
    <x v="0"/>
    <x v="7"/>
    <n v="24235.360000000001"/>
    <n v="169647.52000000002"/>
  </r>
  <r>
    <s v="BLG-0412"/>
    <x v="24"/>
    <s v="Oct"/>
    <x v="13"/>
    <x v="2"/>
    <x v="6"/>
    <x v="2"/>
    <x v="0"/>
    <x v="1"/>
    <x v="7"/>
    <n v="0"/>
    <n v="0"/>
  </r>
  <r>
    <s v="BLG-0413"/>
    <x v="233"/>
    <s v="Nov"/>
    <x v="12"/>
    <x v="0"/>
    <x v="7"/>
    <x v="3"/>
    <x v="2"/>
    <x v="2"/>
    <x v="16"/>
    <n v="8898.5"/>
    <n v="44492.5"/>
  </r>
  <r>
    <s v="BLG-0414"/>
    <x v="234"/>
    <s v="May"/>
    <x v="6"/>
    <x v="1"/>
    <x v="1"/>
    <x v="0"/>
    <x v="0"/>
    <x v="0"/>
    <x v="20"/>
    <n v="5243"/>
    <n v="120589"/>
  </r>
  <r>
    <s v="BLG-0415"/>
    <x v="29"/>
    <s v="Oct"/>
    <x v="10"/>
    <x v="0"/>
    <x v="3"/>
    <x v="0"/>
    <x v="1"/>
    <x v="0"/>
    <x v="14"/>
    <n v="1704.78"/>
    <n v="5114.34"/>
  </r>
  <r>
    <s v="BLG-0416"/>
    <x v="235"/>
    <s v="Nov"/>
    <x v="12"/>
    <x v="1"/>
    <x v="6"/>
    <x v="0"/>
    <x v="0"/>
    <x v="3"/>
    <x v="19"/>
    <n v="3509.82"/>
    <n v="66686.58"/>
  </r>
  <r>
    <s v="BLG-0417"/>
    <x v="187"/>
    <s v="Oct"/>
    <x v="4"/>
    <x v="1"/>
    <x v="9"/>
    <x v="0"/>
    <x v="1"/>
    <x v="1"/>
    <x v="7"/>
    <n v="7661.81"/>
    <n v="53632.670000000006"/>
  </r>
  <r>
    <s v="BLG-0418"/>
    <x v="150"/>
    <s v="Apr"/>
    <x v="2"/>
    <x v="1"/>
    <x v="1"/>
    <x v="0"/>
    <x v="1"/>
    <x v="2"/>
    <x v="18"/>
    <n v="2355.48"/>
    <n v="35332.199999999997"/>
  </r>
  <r>
    <s v="BLG-0419"/>
    <x v="236"/>
    <s v="Oct"/>
    <x v="1"/>
    <x v="0"/>
    <x v="9"/>
    <x v="0"/>
    <x v="0"/>
    <x v="0"/>
    <x v="6"/>
    <n v="4542.7"/>
    <n v="18170.8"/>
  </r>
  <r>
    <s v="BLG-0420"/>
    <x v="91"/>
    <s v="Oct"/>
    <x v="5"/>
    <x v="0"/>
    <x v="6"/>
    <x v="1"/>
    <x v="1"/>
    <x v="0"/>
    <x v="7"/>
    <n v="1100.44"/>
    <n v="7703.08"/>
  </r>
  <r>
    <s v="BLG-0421"/>
    <x v="101"/>
    <s v="Jun"/>
    <x v="8"/>
    <x v="0"/>
    <x v="6"/>
    <x v="0"/>
    <x v="0"/>
    <x v="2"/>
    <x v="2"/>
    <n v="1597.43"/>
    <n v="12779.44"/>
  </r>
  <r>
    <s v="BLG-0422"/>
    <x v="42"/>
    <s v="Nov"/>
    <x v="7"/>
    <x v="1"/>
    <x v="5"/>
    <x v="0"/>
    <x v="0"/>
    <x v="4"/>
    <x v="18"/>
    <n v="3363.65"/>
    <n v="50454.75"/>
  </r>
  <r>
    <s v="BLG-0423"/>
    <x v="167"/>
    <s v="Feb"/>
    <x v="14"/>
    <x v="2"/>
    <x v="6"/>
    <x v="0"/>
    <x v="1"/>
    <x v="1"/>
    <x v="17"/>
    <n v="1657.88"/>
    <n v="18236.68"/>
  </r>
  <r>
    <s v="BLG-0424"/>
    <x v="237"/>
    <s v="May"/>
    <x v="15"/>
    <x v="0"/>
    <x v="6"/>
    <x v="0"/>
    <x v="1"/>
    <x v="1"/>
    <x v="8"/>
    <n v="194.27"/>
    <n v="194.27"/>
  </r>
  <r>
    <s v="BLG-0425"/>
    <x v="67"/>
    <s v="Nov"/>
    <x v="4"/>
    <x v="0"/>
    <x v="5"/>
    <x v="0"/>
    <x v="0"/>
    <x v="1"/>
    <x v="6"/>
    <n v="1165.29"/>
    <n v="4661.16"/>
  </r>
  <r>
    <s v="BLG-0426"/>
    <x v="238"/>
    <s v="Sep"/>
    <x v="3"/>
    <x v="1"/>
    <x v="1"/>
    <x v="0"/>
    <x v="1"/>
    <x v="1"/>
    <x v="15"/>
    <n v="2479.6799999999998"/>
    <n v="29756.159999999996"/>
  </r>
  <r>
    <s v="BLG-0427"/>
    <x v="215"/>
    <s v="Jun"/>
    <x v="7"/>
    <x v="0"/>
    <x v="4"/>
    <x v="0"/>
    <x v="1"/>
    <x v="0"/>
    <x v="8"/>
    <n v="2620.27"/>
    <n v="2620.27"/>
  </r>
  <r>
    <s v="BLG-0428"/>
    <x v="82"/>
    <s v="May"/>
    <x v="11"/>
    <x v="2"/>
    <x v="3"/>
    <x v="0"/>
    <x v="2"/>
    <x v="3"/>
    <x v="18"/>
    <n v="8483.2800000000007"/>
    <n v="127249.20000000001"/>
  </r>
  <r>
    <s v="BLG-0429"/>
    <x v="239"/>
    <s v="Jan"/>
    <x v="9"/>
    <x v="1"/>
    <x v="7"/>
    <x v="1"/>
    <x v="1"/>
    <x v="1"/>
    <x v="8"/>
    <n v="1695.94"/>
    <n v="1695.94"/>
  </r>
  <r>
    <s v="BLG-0430"/>
    <x v="240"/>
    <s v="Mar"/>
    <x v="8"/>
    <x v="0"/>
    <x v="3"/>
    <x v="0"/>
    <x v="0"/>
    <x v="1"/>
    <x v="7"/>
    <n v="4730.29"/>
    <n v="33112.03"/>
  </r>
  <r>
    <s v="BLG-0431"/>
    <x v="241"/>
    <s v="Apr"/>
    <x v="8"/>
    <x v="1"/>
    <x v="8"/>
    <x v="1"/>
    <x v="1"/>
    <x v="2"/>
    <x v="2"/>
    <n v="4025.73"/>
    <n v="32205.84"/>
  </r>
  <r>
    <s v="BLG-0432"/>
    <x v="14"/>
    <s v="Mar"/>
    <x v="15"/>
    <x v="0"/>
    <x v="7"/>
    <x v="0"/>
    <x v="1"/>
    <x v="2"/>
    <x v="0"/>
    <n v="12834.7"/>
    <n v="115512.3"/>
  </r>
  <r>
    <s v="BLG-0433"/>
    <x v="59"/>
    <s v="May"/>
    <x v="17"/>
    <x v="0"/>
    <x v="3"/>
    <x v="0"/>
    <x v="1"/>
    <x v="0"/>
    <x v="0"/>
    <n v="3662.2"/>
    <n v="32959.799999999996"/>
  </r>
  <r>
    <s v="BLG-0434"/>
    <x v="225"/>
    <s v="Nov"/>
    <x v="3"/>
    <x v="1"/>
    <x v="5"/>
    <x v="1"/>
    <x v="1"/>
    <x v="3"/>
    <x v="0"/>
    <n v="1829.33"/>
    <n v="16463.97"/>
  </r>
  <r>
    <s v="BLG-0435"/>
    <x v="136"/>
    <s v="Jun"/>
    <x v="3"/>
    <x v="0"/>
    <x v="8"/>
    <x v="0"/>
    <x v="0"/>
    <x v="1"/>
    <x v="14"/>
    <n v="1348.3"/>
    <n v="4044.8999999999996"/>
  </r>
  <r>
    <s v="BLG-0436"/>
    <x v="131"/>
    <s v="Mar"/>
    <x v="5"/>
    <x v="1"/>
    <x v="2"/>
    <x v="0"/>
    <x v="0"/>
    <x v="1"/>
    <x v="22"/>
    <n v="2701.85"/>
    <n v="45931.45"/>
  </r>
  <r>
    <s v="BLG-0437"/>
    <x v="242"/>
    <s v="Jan"/>
    <x v="8"/>
    <x v="1"/>
    <x v="1"/>
    <x v="0"/>
    <x v="1"/>
    <x v="1"/>
    <x v="20"/>
    <n v="5457.3"/>
    <n v="125517.90000000001"/>
  </r>
  <r>
    <s v="BLG-0438"/>
    <x v="222"/>
    <s v="Jun"/>
    <x v="10"/>
    <x v="1"/>
    <x v="8"/>
    <x v="0"/>
    <x v="1"/>
    <x v="0"/>
    <x v="10"/>
    <n v="7719.77"/>
    <n v="169834.94"/>
  </r>
  <r>
    <s v="BLG-0439"/>
    <x v="243"/>
    <s v="Apr"/>
    <x v="11"/>
    <x v="0"/>
    <x v="0"/>
    <x v="0"/>
    <x v="0"/>
    <x v="0"/>
    <x v="8"/>
    <n v="327.82"/>
    <n v="327.82"/>
  </r>
  <r>
    <s v="BLG-0440"/>
    <x v="61"/>
    <s v="Oct"/>
    <x v="6"/>
    <x v="1"/>
    <x v="1"/>
    <x v="0"/>
    <x v="1"/>
    <x v="1"/>
    <x v="21"/>
    <n v="4502.8"/>
    <n v="108067.20000000001"/>
  </r>
  <r>
    <s v="BLG-0441"/>
    <x v="215"/>
    <s v="Jun"/>
    <x v="7"/>
    <x v="0"/>
    <x v="3"/>
    <x v="0"/>
    <x v="0"/>
    <x v="3"/>
    <x v="9"/>
    <n v="3374.51"/>
    <n v="20247.060000000001"/>
  </r>
  <r>
    <s v="BLG-0442"/>
    <x v="70"/>
    <s v="Jun"/>
    <x v="4"/>
    <x v="1"/>
    <x v="1"/>
    <x v="0"/>
    <x v="0"/>
    <x v="3"/>
    <x v="17"/>
    <n v="1490.74"/>
    <n v="16398.14"/>
  </r>
  <r>
    <s v="BLG-0443"/>
    <x v="47"/>
    <s v="May"/>
    <x v="11"/>
    <x v="1"/>
    <x v="3"/>
    <x v="0"/>
    <x v="1"/>
    <x v="0"/>
    <x v="11"/>
    <n v="11030.96"/>
    <n v="176495.35999999999"/>
  </r>
  <r>
    <s v="BLG-0444"/>
    <x v="53"/>
    <s v="Aug"/>
    <x v="6"/>
    <x v="0"/>
    <x v="0"/>
    <x v="0"/>
    <x v="1"/>
    <x v="0"/>
    <x v="16"/>
    <n v="1644.8"/>
    <n v="8224"/>
  </r>
  <r>
    <s v="BLG-0445"/>
    <x v="201"/>
    <s v="Mar"/>
    <x v="8"/>
    <x v="0"/>
    <x v="6"/>
    <x v="0"/>
    <x v="0"/>
    <x v="2"/>
    <x v="0"/>
    <n v="1625.73"/>
    <n v="14631.57"/>
  </r>
  <r>
    <s v="BLG-0446"/>
    <x v="220"/>
    <s v="Oct"/>
    <x v="5"/>
    <x v="1"/>
    <x v="1"/>
    <x v="0"/>
    <x v="1"/>
    <x v="2"/>
    <x v="20"/>
    <n v="4277.71"/>
    <n v="98387.33"/>
  </r>
  <r>
    <s v="BLG-0447"/>
    <x v="196"/>
    <s v="Mar"/>
    <x v="7"/>
    <x v="0"/>
    <x v="8"/>
    <x v="0"/>
    <x v="0"/>
    <x v="1"/>
    <x v="0"/>
    <n v="3992.61"/>
    <n v="35933.49"/>
  </r>
  <r>
    <s v="BLG-0448"/>
    <x v="80"/>
    <s v="Jul"/>
    <x v="7"/>
    <x v="0"/>
    <x v="3"/>
    <x v="2"/>
    <x v="0"/>
    <x v="0"/>
    <x v="14"/>
    <n v="0"/>
    <n v="0"/>
  </r>
  <r>
    <s v="BLG-0449"/>
    <x v="201"/>
    <s v="Mar"/>
    <x v="6"/>
    <x v="0"/>
    <x v="5"/>
    <x v="0"/>
    <x v="0"/>
    <x v="1"/>
    <x v="2"/>
    <n v="2311.77"/>
    <n v="18494.16"/>
  </r>
  <r>
    <s v="BLG-0450"/>
    <x v="244"/>
    <s v="Jan"/>
    <x v="11"/>
    <x v="1"/>
    <x v="0"/>
    <x v="0"/>
    <x v="1"/>
    <x v="0"/>
    <x v="10"/>
    <n v="7405.32"/>
    <n v="162917.03999999998"/>
  </r>
  <r>
    <s v="BLG-0451"/>
    <x v="178"/>
    <s v="Jul"/>
    <x v="5"/>
    <x v="0"/>
    <x v="9"/>
    <x v="0"/>
    <x v="2"/>
    <x v="1"/>
    <x v="0"/>
    <n v="9662.7000000000007"/>
    <n v="86964.3"/>
  </r>
  <r>
    <s v="BLG-0452"/>
    <x v="189"/>
    <s v="May"/>
    <x v="2"/>
    <x v="0"/>
    <x v="5"/>
    <x v="0"/>
    <x v="1"/>
    <x v="0"/>
    <x v="3"/>
    <n v="466.4"/>
    <n v="932.8"/>
  </r>
  <r>
    <s v="BLG-0453"/>
    <x v="185"/>
    <s v="Jul"/>
    <x v="11"/>
    <x v="0"/>
    <x v="7"/>
    <x v="2"/>
    <x v="1"/>
    <x v="0"/>
    <x v="1"/>
    <n v="0"/>
    <n v="0"/>
  </r>
  <r>
    <s v="BLG-0454"/>
    <x v="211"/>
    <s v="Aug"/>
    <x v="14"/>
    <x v="0"/>
    <x v="5"/>
    <x v="0"/>
    <x v="1"/>
    <x v="1"/>
    <x v="1"/>
    <n v="2596.84"/>
    <n v="25968.400000000001"/>
  </r>
  <r>
    <s v="BLG-0455"/>
    <x v="140"/>
    <s v="Mar"/>
    <x v="11"/>
    <x v="0"/>
    <x v="7"/>
    <x v="0"/>
    <x v="0"/>
    <x v="0"/>
    <x v="1"/>
    <n v="15241.46"/>
    <n v="152414.59999999998"/>
  </r>
  <r>
    <s v="BLG-0456"/>
    <x v="84"/>
    <s v="Jan"/>
    <x v="11"/>
    <x v="0"/>
    <x v="5"/>
    <x v="0"/>
    <x v="0"/>
    <x v="1"/>
    <x v="1"/>
    <n v="1843.86"/>
    <n v="18438.599999999999"/>
  </r>
  <r>
    <s v="BLG-0457"/>
    <x v="240"/>
    <s v="Mar"/>
    <x v="2"/>
    <x v="2"/>
    <x v="5"/>
    <x v="0"/>
    <x v="2"/>
    <x v="0"/>
    <x v="15"/>
    <n v="3767.55"/>
    <n v="45210.600000000006"/>
  </r>
  <r>
    <s v="BLG-0458"/>
    <x v="233"/>
    <s v="Nov"/>
    <x v="13"/>
    <x v="1"/>
    <x v="1"/>
    <x v="2"/>
    <x v="0"/>
    <x v="2"/>
    <x v="17"/>
    <n v="0"/>
    <n v="0"/>
  </r>
  <r>
    <s v="BLG-0459"/>
    <x v="245"/>
    <s v="Sep"/>
    <x v="2"/>
    <x v="0"/>
    <x v="3"/>
    <x v="3"/>
    <x v="0"/>
    <x v="1"/>
    <x v="7"/>
    <n v="3709.23"/>
    <n v="25964.61"/>
  </r>
  <r>
    <s v="BLG-0460"/>
    <x v="35"/>
    <s v="Feb"/>
    <x v="15"/>
    <x v="0"/>
    <x v="2"/>
    <x v="0"/>
    <x v="1"/>
    <x v="1"/>
    <x v="3"/>
    <n v="205.55"/>
    <n v="411.1"/>
  </r>
  <r>
    <s v="BLG-0461"/>
    <x v="246"/>
    <s v="Nov"/>
    <x v="1"/>
    <x v="1"/>
    <x v="5"/>
    <x v="1"/>
    <x v="1"/>
    <x v="0"/>
    <x v="24"/>
    <n v="5904.64"/>
    <n v="147616"/>
  </r>
  <r>
    <s v="BLG-0462"/>
    <x v="247"/>
    <s v="Jan"/>
    <x v="17"/>
    <x v="0"/>
    <x v="7"/>
    <x v="0"/>
    <x v="1"/>
    <x v="1"/>
    <x v="2"/>
    <n v="17621.759999999998"/>
    <n v="140974.07999999999"/>
  </r>
  <r>
    <s v="BLG-0463"/>
    <x v="248"/>
    <s v="Oct"/>
    <x v="0"/>
    <x v="0"/>
    <x v="0"/>
    <x v="1"/>
    <x v="2"/>
    <x v="1"/>
    <x v="1"/>
    <n v="3317.76"/>
    <n v="33177.600000000006"/>
  </r>
  <r>
    <s v="BLG-0464"/>
    <x v="133"/>
    <s v="Jul"/>
    <x v="2"/>
    <x v="0"/>
    <x v="6"/>
    <x v="1"/>
    <x v="1"/>
    <x v="1"/>
    <x v="8"/>
    <n v="156"/>
    <n v="156"/>
  </r>
  <r>
    <s v="BLG-0465"/>
    <x v="241"/>
    <s v="Apr"/>
    <x v="12"/>
    <x v="0"/>
    <x v="1"/>
    <x v="0"/>
    <x v="0"/>
    <x v="1"/>
    <x v="0"/>
    <n v="1626.7"/>
    <n v="14640.300000000001"/>
  </r>
  <r>
    <s v="BLG-0466"/>
    <x v="249"/>
    <s v="Jul"/>
    <x v="2"/>
    <x v="2"/>
    <x v="7"/>
    <x v="0"/>
    <x v="1"/>
    <x v="0"/>
    <x v="2"/>
    <n v="15863.77"/>
    <n v="126910.16"/>
  </r>
  <r>
    <s v="BLG-0467"/>
    <x v="68"/>
    <s v="Jun"/>
    <x v="7"/>
    <x v="1"/>
    <x v="7"/>
    <x v="0"/>
    <x v="0"/>
    <x v="1"/>
    <x v="5"/>
    <n v="23820.19"/>
    <n v="309662.46999999997"/>
  </r>
  <r>
    <s v="BLG-0468"/>
    <x v="250"/>
    <s v="Mar"/>
    <x v="0"/>
    <x v="0"/>
    <x v="9"/>
    <x v="0"/>
    <x v="1"/>
    <x v="0"/>
    <x v="8"/>
    <n v="804.12"/>
    <n v="804.12"/>
  </r>
  <r>
    <s v="BLG-0469"/>
    <x v="58"/>
    <s v="Nov"/>
    <x v="15"/>
    <x v="1"/>
    <x v="2"/>
    <x v="0"/>
    <x v="0"/>
    <x v="1"/>
    <x v="4"/>
    <n v="1483.54"/>
    <n v="20769.559999999998"/>
  </r>
  <r>
    <s v="BLG-0470"/>
    <x v="251"/>
    <s v="Feb"/>
    <x v="1"/>
    <x v="1"/>
    <x v="8"/>
    <x v="0"/>
    <x v="0"/>
    <x v="1"/>
    <x v="24"/>
    <n v="8237.02"/>
    <n v="205925.5"/>
  </r>
  <r>
    <s v="BLG-0471"/>
    <x v="96"/>
    <s v="Mar"/>
    <x v="13"/>
    <x v="0"/>
    <x v="1"/>
    <x v="0"/>
    <x v="0"/>
    <x v="1"/>
    <x v="8"/>
    <n v="219.67"/>
    <n v="219.67"/>
  </r>
  <r>
    <s v="BLG-0472"/>
    <x v="245"/>
    <s v="Sep"/>
    <x v="9"/>
    <x v="1"/>
    <x v="5"/>
    <x v="0"/>
    <x v="1"/>
    <x v="0"/>
    <x v="17"/>
    <n v="1941.1"/>
    <n v="21352.1"/>
  </r>
  <r>
    <s v="BLG-0473"/>
    <x v="252"/>
    <s v="May"/>
    <x v="5"/>
    <x v="0"/>
    <x v="7"/>
    <x v="0"/>
    <x v="1"/>
    <x v="2"/>
    <x v="3"/>
    <n v="4685.42"/>
    <n v="9370.84"/>
  </r>
  <r>
    <s v="BLG-0474"/>
    <x v="253"/>
    <s v="Oct"/>
    <x v="7"/>
    <x v="0"/>
    <x v="2"/>
    <x v="0"/>
    <x v="2"/>
    <x v="1"/>
    <x v="7"/>
    <n v="919.75"/>
    <n v="6438.25"/>
  </r>
  <r>
    <s v="BLG-0475"/>
    <x v="254"/>
    <s v="May"/>
    <x v="14"/>
    <x v="0"/>
    <x v="1"/>
    <x v="0"/>
    <x v="1"/>
    <x v="3"/>
    <x v="0"/>
    <n v="2144.92"/>
    <n v="19304.28"/>
  </r>
  <r>
    <s v="BLG-0476"/>
    <x v="158"/>
    <s v="Oct"/>
    <x v="2"/>
    <x v="1"/>
    <x v="4"/>
    <x v="0"/>
    <x v="0"/>
    <x v="2"/>
    <x v="12"/>
    <n v="74173.240000000005"/>
    <n v="1483464.8"/>
  </r>
  <r>
    <s v="BLG-0477"/>
    <x v="255"/>
    <s v="Jan"/>
    <x v="13"/>
    <x v="0"/>
    <x v="1"/>
    <x v="0"/>
    <x v="2"/>
    <x v="0"/>
    <x v="6"/>
    <n v="885.67"/>
    <n v="3542.68"/>
  </r>
  <r>
    <s v="BLG-0478"/>
    <x v="256"/>
    <s v="Jul"/>
    <x v="7"/>
    <x v="0"/>
    <x v="1"/>
    <x v="2"/>
    <x v="1"/>
    <x v="1"/>
    <x v="9"/>
    <n v="0"/>
    <n v="0"/>
  </r>
  <r>
    <s v="BLG-0479"/>
    <x v="168"/>
    <s v="Apr"/>
    <x v="13"/>
    <x v="0"/>
    <x v="1"/>
    <x v="0"/>
    <x v="1"/>
    <x v="2"/>
    <x v="6"/>
    <n v="755.57"/>
    <n v="3022.28"/>
  </r>
  <r>
    <s v="BLG-0480"/>
    <x v="150"/>
    <s v="Apr"/>
    <x v="11"/>
    <x v="1"/>
    <x v="8"/>
    <x v="0"/>
    <x v="1"/>
    <x v="1"/>
    <x v="24"/>
    <n v="10117.969999999999"/>
    <n v="252949.24999999997"/>
  </r>
  <r>
    <s v="BLG-0481"/>
    <x v="257"/>
    <s v="Feb"/>
    <x v="0"/>
    <x v="2"/>
    <x v="3"/>
    <x v="0"/>
    <x v="0"/>
    <x v="2"/>
    <x v="6"/>
    <n v="3006.37"/>
    <n v="12025.48"/>
  </r>
  <r>
    <s v="BLG-0482"/>
    <x v="8"/>
    <s v="Jun"/>
    <x v="13"/>
    <x v="1"/>
    <x v="8"/>
    <x v="0"/>
    <x v="1"/>
    <x v="1"/>
    <x v="10"/>
    <n v="8483.7999999999993"/>
    <n v="186643.59999999998"/>
  </r>
  <r>
    <s v="BLG-0483"/>
    <x v="60"/>
    <s v="Apr"/>
    <x v="16"/>
    <x v="0"/>
    <x v="2"/>
    <x v="0"/>
    <x v="1"/>
    <x v="0"/>
    <x v="7"/>
    <n v="1063.6400000000001"/>
    <n v="7445.4800000000005"/>
  </r>
  <r>
    <s v="BLG-0484"/>
    <x v="96"/>
    <s v="Mar"/>
    <x v="6"/>
    <x v="2"/>
    <x v="6"/>
    <x v="0"/>
    <x v="0"/>
    <x v="1"/>
    <x v="0"/>
    <n v="1499.49"/>
    <n v="13495.41"/>
  </r>
  <r>
    <s v="BLG-0485"/>
    <x v="110"/>
    <s v="Jul"/>
    <x v="2"/>
    <x v="0"/>
    <x v="0"/>
    <x v="0"/>
    <x v="2"/>
    <x v="1"/>
    <x v="14"/>
    <n v="818.42"/>
    <n v="2455.2599999999998"/>
  </r>
  <r>
    <s v="BLG-0486"/>
    <x v="258"/>
    <s v="Apr"/>
    <x v="17"/>
    <x v="1"/>
    <x v="7"/>
    <x v="2"/>
    <x v="1"/>
    <x v="1"/>
    <x v="1"/>
    <n v="0"/>
    <n v="0"/>
  </r>
  <r>
    <s v="BLG-0487"/>
    <x v="63"/>
    <s v="Feb"/>
    <x v="2"/>
    <x v="1"/>
    <x v="5"/>
    <x v="2"/>
    <x v="1"/>
    <x v="2"/>
    <x v="1"/>
    <n v="0"/>
    <n v="0"/>
  </r>
  <r>
    <s v="BLG-0488"/>
    <x v="31"/>
    <s v="Jan"/>
    <x v="14"/>
    <x v="0"/>
    <x v="1"/>
    <x v="2"/>
    <x v="0"/>
    <x v="0"/>
    <x v="9"/>
    <n v="0"/>
    <n v="0"/>
  </r>
  <r>
    <s v="BLG-0489"/>
    <x v="162"/>
    <s v="Jun"/>
    <x v="2"/>
    <x v="0"/>
    <x v="5"/>
    <x v="0"/>
    <x v="0"/>
    <x v="1"/>
    <x v="16"/>
    <n v="1139.52"/>
    <n v="5697.6"/>
  </r>
  <r>
    <s v="BLG-0490"/>
    <x v="143"/>
    <s v="Nov"/>
    <x v="0"/>
    <x v="0"/>
    <x v="7"/>
    <x v="0"/>
    <x v="1"/>
    <x v="3"/>
    <x v="16"/>
    <n v="8608.36"/>
    <n v="43041.8"/>
  </r>
  <r>
    <s v="BLG-0491"/>
    <x v="103"/>
    <s v="Jun"/>
    <x v="10"/>
    <x v="0"/>
    <x v="3"/>
    <x v="0"/>
    <x v="2"/>
    <x v="1"/>
    <x v="9"/>
    <n v="3738.69"/>
    <n v="22432.14"/>
  </r>
  <r>
    <s v="BLG-0492"/>
    <x v="186"/>
    <s v="Sep"/>
    <x v="6"/>
    <x v="1"/>
    <x v="7"/>
    <x v="0"/>
    <x v="0"/>
    <x v="1"/>
    <x v="17"/>
    <n v="22460.1"/>
    <n v="247061.09999999998"/>
  </r>
  <r>
    <s v="BLG-0493"/>
    <x v="54"/>
    <s v="Aug"/>
    <x v="5"/>
    <x v="1"/>
    <x v="1"/>
    <x v="0"/>
    <x v="1"/>
    <x v="1"/>
    <x v="18"/>
    <n v="3175.9"/>
    <n v="47638.5"/>
  </r>
  <r>
    <s v="BLG-0494"/>
    <x v="259"/>
    <s v="Nov"/>
    <x v="5"/>
    <x v="0"/>
    <x v="9"/>
    <x v="2"/>
    <x v="1"/>
    <x v="0"/>
    <x v="2"/>
    <n v="0"/>
    <n v="0"/>
  </r>
  <r>
    <s v="BLG-0495"/>
    <x v="243"/>
    <s v="Apr"/>
    <x v="15"/>
    <x v="0"/>
    <x v="0"/>
    <x v="0"/>
    <x v="0"/>
    <x v="2"/>
    <x v="6"/>
    <n v="884.15"/>
    <n v="3536.6"/>
  </r>
  <r>
    <s v="BLG-0496"/>
    <x v="174"/>
    <s v="Feb"/>
    <x v="0"/>
    <x v="0"/>
    <x v="8"/>
    <x v="0"/>
    <x v="1"/>
    <x v="1"/>
    <x v="3"/>
    <n v="682.38"/>
    <n v="1364.76"/>
  </r>
  <r>
    <s v="BLG-0497"/>
    <x v="225"/>
    <s v="Nov"/>
    <x v="16"/>
    <x v="0"/>
    <x v="8"/>
    <x v="0"/>
    <x v="1"/>
    <x v="2"/>
    <x v="2"/>
    <n v="3782.99"/>
    <n v="30263.919999999998"/>
  </r>
  <r>
    <s v="BLG-0498"/>
    <x v="223"/>
    <s v="Mar"/>
    <x v="9"/>
    <x v="1"/>
    <x v="1"/>
    <x v="0"/>
    <x v="0"/>
    <x v="1"/>
    <x v="13"/>
    <n v="3894.59"/>
    <n v="81786.39"/>
  </r>
  <r>
    <s v="BLG-0499"/>
    <x v="93"/>
    <s v="Oct"/>
    <x v="2"/>
    <x v="0"/>
    <x v="1"/>
    <x v="3"/>
    <x v="1"/>
    <x v="0"/>
    <x v="2"/>
    <n v="1625.23"/>
    <n v="13001.84"/>
  </r>
  <r>
    <s v="BLG-0500"/>
    <x v="58"/>
    <s v="Nov"/>
    <x v="17"/>
    <x v="0"/>
    <x v="3"/>
    <x v="0"/>
    <x v="1"/>
    <x v="0"/>
    <x v="3"/>
    <n v="1096.33"/>
    <n v="2192.6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BLG-0001"/>
    <x v="0"/>
    <x v="0"/>
    <x v="0"/>
    <x v="0"/>
    <x v="0"/>
    <x v="0"/>
    <x v="0"/>
    <x v="0"/>
    <x v="0"/>
  </r>
  <r>
    <s v="BLG-0002"/>
    <x v="1"/>
    <x v="1"/>
    <x v="0"/>
    <x v="1"/>
    <x v="0"/>
    <x v="1"/>
    <x v="1"/>
    <x v="0"/>
    <x v="1"/>
  </r>
  <r>
    <s v="BLG-0003"/>
    <x v="2"/>
    <x v="2"/>
    <x v="1"/>
    <x v="1"/>
    <x v="1"/>
    <x v="0"/>
    <x v="1"/>
    <x v="1"/>
    <x v="2"/>
  </r>
  <r>
    <s v="BLG-0004"/>
    <x v="3"/>
    <x v="0"/>
    <x v="0"/>
    <x v="1"/>
    <x v="2"/>
    <x v="0"/>
    <x v="2"/>
    <x v="2"/>
    <x v="3"/>
  </r>
  <r>
    <s v="BLG-0005"/>
    <x v="4"/>
    <x v="3"/>
    <x v="0"/>
    <x v="2"/>
    <x v="0"/>
    <x v="0"/>
    <x v="0"/>
    <x v="3"/>
    <x v="4"/>
  </r>
  <r>
    <s v="BLG-0006"/>
    <x v="5"/>
    <x v="4"/>
    <x v="2"/>
    <x v="2"/>
    <x v="2"/>
    <x v="1"/>
    <x v="1"/>
    <x v="4"/>
    <x v="3"/>
  </r>
  <r>
    <s v="BLG-0007"/>
    <x v="6"/>
    <x v="2"/>
    <x v="1"/>
    <x v="3"/>
    <x v="0"/>
    <x v="0"/>
    <x v="0"/>
    <x v="5"/>
    <x v="5"/>
  </r>
  <r>
    <s v="BLG-0008"/>
    <x v="7"/>
    <x v="2"/>
    <x v="2"/>
    <x v="3"/>
    <x v="0"/>
    <x v="0"/>
    <x v="2"/>
    <x v="6"/>
    <x v="6"/>
  </r>
  <r>
    <s v="BLG-0009"/>
    <x v="8"/>
    <x v="5"/>
    <x v="0"/>
    <x v="1"/>
    <x v="3"/>
    <x v="0"/>
    <x v="1"/>
    <x v="2"/>
    <x v="7"/>
  </r>
  <r>
    <s v="BLG-0010"/>
    <x v="9"/>
    <x v="6"/>
    <x v="0"/>
    <x v="1"/>
    <x v="1"/>
    <x v="1"/>
    <x v="2"/>
    <x v="7"/>
    <x v="8"/>
  </r>
  <r>
    <s v="BLG-0011"/>
    <x v="10"/>
    <x v="7"/>
    <x v="0"/>
    <x v="4"/>
    <x v="0"/>
    <x v="1"/>
    <x v="1"/>
    <x v="3"/>
    <x v="9"/>
  </r>
  <r>
    <s v="BLG-0012"/>
    <x v="11"/>
    <x v="3"/>
    <x v="0"/>
    <x v="5"/>
    <x v="0"/>
    <x v="1"/>
    <x v="0"/>
    <x v="8"/>
    <x v="10"/>
  </r>
  <r>
    <s v="BLG-0013"/>
    <x v="12"/>
    <x v="8"/>
    <x v="1"/>
    <x v="6"/>
    <x v="0"/>
    <x v="1"/>
    <x v="1"/>
    <x v="9"/>
    <x v="11"/>
  </r>
  <r>
    <s v="BLG-0014"/>
    <x v="13"/>
    <x v="9"/>
    <x v="1"/>
    <x v="5"/>
    <x v="0"/>
    <x v="0"/>
    <x v="2"/>
    <x v="10"/>
    <x v="12"/>
  </r>
  <r>
    <s v="BLG-0015"/>
    <x v="14"/>
    <x v="7"/>
    <x v="1"/>
    <x v="5"/>
    <x v="1"/>
    <x v="1"/>
    <x v="1"/>
    <x v="11"/>
    <x v="13"/>
  </r>
  <r>
    <s v="BLG-0016"/>
    <x v="15"/>
    <x v="7"/>
    <x v="1"/>
    <x v="2"/>
    <x v="0"/>
    <x v="1"/>
    <x v="2"/>
    <x v="2"/>
    <x v="14"/>
  </r>
  <r>
    <s v="BLG-0017"/>
    <x v="16"/>
    <x v="3"/>
    <x v="2"/>
    <x v="5"/>
    <x v="0"/>
    <x v="0"/>
    <x v="3"/>
    <x v="2"/>
    <x v="15"/>
  </r>
  <r>
    <s v="BLG-0018"/>
    <x v="1"/>
    <x v="10"/>
    <x v="2"/>
    <x v="6"/>
    <x v="0"/>
    <x v="0"/>
    <x v="1"/>
    <x v="4"/>
    <x v="16"/>
  </r>
  <r>
    <s v="BLG-0019"/>
    <x v="17"/>
    <x v="11"/>
    <x v="0"/>
    <x v="7"/>
    <x v="0"/>
    <x v="1"/>
    <x v="1"/>
    <x v="8"/>
    <x v="17"/>
  </r>
  <r>
    <s v="BLG-0020"/>
    <x v="18"/>
    <x v="12"/>
    <x v="0"/>
    <x v="0"/>
    <x v="0"/>
    <x v="1"/>
    <x v="1"/>
    <x v="1"/>
    <x v="18"/>
  </r>
  <r>
    <s v="BLG-0021"/>
    <x v="19"/>
    <x v="13"/>
    <x v="1"/>
    <x v="1"/>
    <x v="0"/>
    <x v="1"/>
    <x v="1"/>
    <x v="12"/>
    <x v="19"/>
  </r>
  <r>
    <s v="BLG-0022"/>
    <x v="20"/>
    <x v="0"/>
    <x v="0"/>
    <x v="6"/>
    <x v="1"/>
    <x v="1"/>
    <x v="1"/>
    <x v="0"/>
    <x v="20"/>
  </r>
  <r>
    <s v="BLG-0023"/>
    <x v="1"/>
    <x v="14"/>
    <x v="0"/>
    <x v="0"/>
    <x v="3"/>
    <x v="1"/>
    <x v="2"/>
    <x v="0"/>
    <x v="21"/>
  </r>
  <r>
    <s v="BLG-0024"/>
    <x v="21"/>
    <x v="8"/>
    <x v="1"/>
    <x v="4"/>
    <x v="3"/>
    <x v="0"/>
    <x v="1"/>
    <x v="13"/>
    <x v="22"/>
  </r>
  <r>
    <s v="BLG-0025"/>
    <x v="22"/>
    <x v="14"/>
    <x v="0"/>
    <x v="4"/>
    <x v="0"/>
    <x v="0"/>
    <x v="1"/>
    <x v="7"/>
    <x v="23"/>
  </r>
  <r>
    <s v="BLG-0026"/>
    <x v="23"/>
    <x v="13"/>
    <x v="0"/>
    <x v="0"/>
    <x v="3"/>
    <x v="1"/>
    <x v="0"/>
    <x v="9"/>
    <x v="24"/>
  </r>
  <r>
    <s v="BLG-0027"/>
    <x v="24"/>
    <x v="13"/>
    <x v="0"/>
    <x v="2"/>
    <x v="0"/>
    <x v="2"/>
    <x v="1"/>
    <x v="14"/>
    <x v="25"/>
  </r>
  <r>
    <s v="BLG-0028"/>
    <x v="25"/>
    <x v="11"/>
    <x v="0"/>
    <x v="4"/>
    <x v="0"/>
    <x v="1"/>
    <x v="1"/>
    <x v="3"/>
    <x v="26"/>
  </r>
  <r>
    <s v="BLG-0029"/>
    <x v="26"/>
    <x v="12"/>
    <x v="2"/>
    <x v="1"/>
    <x v="1"/>
    <x v="1"/>
    <x v="1"/>
    <x v="15"/>
    <x v="27"/>
  </r>
  <r>
    <s v="BLG-0030"/>
    <x v="27"/>
    <x v="15"/>
    <x v="0"/>
    <x v="4"/>
    <x v="3"/>
    <x v="1"/>
    <x v="1"/>
    <x v="16"/>
    <x v="28"/>
  </r>
  <r>
    <s v="BLG-0031"/>
    <x v="28"/>
    <x v="11"/>
    <x v="0"/>
    <x v="1"/>
    <x v="2"/>
    <x v="0"/>
    <x v="0"/>
    <x v="0"/>
    <x v="3"/>
  </r>
  <r>
    <s v="BLG-0032"/>
    <x v="29"/>
    <x v="4"/>
    <x v="2"/>
    <x v="1"/>
    <x v="2"/>
    <x v="1"/>
    <x v="2"/>
    <x v="7"/>
    <x v="3"/>
  </r>
  <r>
    <s v="BLG-0033"/>
    <x v="30"/>
    <x v="10"/>
    <x v="1"/>
    <x v="2"/>
    <x v="0"/>
    <x v="1"/>
    <x v="3"/>
    <x v="7"/>
    <x v="29"/>
  </r>
  <r>
    <s v="BLG-0034"/>
    <x v="1"/>
    <x v="2"/>
    <x v="0"/>
    <x v="7"/>
    <x v="0"/>
    <x v="2"/>
    <x v="1"/>
    <x v="2"/>
    <x v="30"/>
  </r>
  <r>
    <s v="BLG-0035"/>
    <x v="31"/>
    <x v="0"/>
    <x v="0"/>
    <x v="8"/>
    <x v="2"/>
    <x v="1"/>
    <x v="2"/>
    <x v="1"/>
    <x v="3"/>
  </r>
  <r>
    <s v="BLG-0036"/>
    <x v="32"/>
    <x v="16"/>
    <x v="0"/>
    <x v="7"/>
    <x v="3"/>
    <x v="2"/>
    <x v="1"/>
    <x v="8"/>
    <x v="31"/>
  </r>
  <r>
    <s v="BLG-0037"/>
    <x v="33"/>
    <x v="8"/>
    <x v="1"/>
    <x v="9"/>
    <x v="0"/>
    <x v="1"/>
    <x v="3"/>
    <x v="17"/>
    <x v="32"/>
  </r>
  <r>
    <s v="BLG-0038"/>
    <x v="34"/>
    <x v="17"/>
    <x v="0"/>
    <x v="6"/>
    <x v="0"/>
    <x v="2"/>
    <x v="2"/>
    <x v="6"/>
    <x v="33"/>
  </r>
  <r>
    <s v="BLG-0039"/>
    <x v="35"/>
    <x v="5"/>
    <x v="1"/>
    <x v="2"/>
    <x v="0"/>
    <x v="0"/>
    <x v="0"/>
    <x v="18"/>
    <x v="34"/>
  </r>
  <r>
    <s v="BLG-0040"/>
    <x v="5"/>
    <x v="11"/>
    <x v="0"/>
    <x v="1"/>
    <x v="0"/>
    <x v="0"/>
    <x v="4"/>
    <x v="16"/>
    <x v="35"/>
  </r>
  <r>
    <s v="BLG-0041"/>
    <x v="36"/>
    <x v="5"/>
    <x v="1"/>
    <x v="2"/>
    <x v="0"/>
    <x v="1"/>
    <x v="2"/>
    <x v="4"/>
    <x v="36"/>
  </r>
  <r>
    <s v="BLG-0042"/>
    <x v="37"/>
    <x v="1"/>
    <x v="0"/>
    <x v="9"/>
    <x v="1"/>
    <x v="1"/>
    <x v="0"/>
    <x v="0"/>
    <x v="37"/>
  </r>
  <r>
    <s v="BLG-0043"/>
    <x v="38"/>
    <x v="10"/>
    <x v="0"/>
    <x v="6"/>
    <x v="0"/>
    <x v="2"/>
    <x v="0"/>
    <x v="6"/>
    <x v="38"/>
  </r>
  <r>
    <s v="BLG-0044"/>
    <x v="28"/>
    <x v="12"/>
    <x v="1"/>
    <x v="3"/>
    <x v="0"/>
    <x v="2"/>
    <x v="0"/>
    <x v="19"/>
    <x v="39"/>
  </r>
  <r>
    <s v="BLG-0045"/>
    <x v="39"/>
    <x v="8"/>
    <x v="0"/>
    <x v="9"/>
    <x v="3"/>
    <x v="0"/>
    <x v="3"/>
    <x v="1"/>
    <x v="40"/>
  </r>
  <r>
    <s v="BLG-0046"/>
    <x v="40"/>
    <x v="8"/>
    <x v="1"/>
    <x v="0"/>
    <x v="0"/>
    <x v="0"/>
    <x v="0"/>
    <x v="11"/>
    <x v="41"/>
  </r>
  <r>
    <s v="BLG-0047"/>
    <x v="41"/>
    <x v="10"/>
    <x v="0"/>
    <x v="2"/>
    <x v="3"/>
    <x v="0"/>
    <x v="0"/>
    <x v="16"/>
    <x v="42"/>
  </r>
  <r>
    <s v="BLG-0048"/>
    <x v="42"/>
    <x v="12"/>
    <x v="0"/>
    <x v="4"/>
    <x v="0"/>
    <x v="1"/>
    <x v="2"/>
    <x v="14"/>
    <x v="43"/>
  </r>
  <r>
    <s v="BLG-0049"/>
    <x v="43"/>
    <x v="3"/>
    <x v="0"/>
    <x v="8"/>
    <x v="0"/>
    <x v="0"/>
    <x v="1"/>
    <x v="7"/>
    <x v="44"/>
  </r>
  <r>
    <s v="BLG-0050"/>
    <x v="44"/>
    <x v="15"/>
    <x v="1"/>
    <x v="2"/>
    <x v="2"/>
    <x v="0"/>
    <x v="1"/>
    <x v="10"/>
    <x v="3"/>
  </r>
  <r>
    <s v="BLG-0051"/>
    <x v="45"/>
    <x v="11"/>
    <x v="2"/>
    <x v="1"/>
    <x v="0"/>
    <x v="1"/>
    <x v="0"/>
    <x v="5"/>
    <x v="45"/>
  </r>
  <r>
    <s v="BLG-0052"/>
    <x v="46"/>
    <x v="9"/>
    <x v="0"/>
    <x v="8"/>
    <x v="0"/>
    <x v="1"/>
    <x v="2"/>
    <x v="2"/>
    <x v="46"/>
  </r>
  <r>
    <s v="BLG-0053"/>
    <x v="47"/>
    <x v="2"/>
    <x v="1"/>
    <x v="5"/>
    <x v="0"/>
    <x v="1"/>
    <x v="1"/>
    <x v="18"/>
    <x v="47"/>
  </r>
  <r>
    <s v="BLG-0054"/>
    <x v="48"/>
    <x v="12"/>
    <x v="1"/>
    <x v="1"/>
    <x v="0"/>
    <x v="1"/>
    <x v="1"/>
    <x v="15"/>
    <x v="48"/>
  </r>
  <r>
    <s v="BLG-0055"/>
    <x v="49"/>
    <x v="12"/>
    <x v="0"/>
    <x v="9"/>
    <x v="0"/>
    <x v="1"/>
    <x v="3"/>
    <x v="1"/>
    <x v="49"/>
  </r>
  <r>
    <s v="BLG-0056"/>
    <x v="50"/>
    <x v="5"/>
    <x v="0"/>
    <x v="4"/>
    <x v="0"/>
    <x v="1"/>
    <x v="2"/>
    <x v="7"/>
    <x v="50"/>
  </r>
  <r>
    <s v="BLG-0057"/>
    <x v="51"/>
    <x v="11"/>
    <x v="0"/>
    <x v="0"/>
    <x v="0"/>
    <x v="1"/>
    <x v="0"/>
    <x v="7"/>
    <x v="51"/>
  </r>
  <r>
    <s v="BLG-0058"/>
    <x v="52"/>
    <x v="16"/>
    <x v="2"/>
    <x v="5"/>
    <x v="2"/>
    <x v="0"/>
    <x v="0"/>
    <x v="16"/>
    <x v="3"/>
  </r>
  <r>
    <s v="BLG-0059"/>
    <x v="53"/>
    <x v="14"/>
    <x v="0"/>
    <x v="7"/>
    <x v="0"/>
    <x v="1"/>
    <x v="2"/>
    <x v="7"/>
    <x v="52"/>
  </r>
  <r>
    <s v="BLG-0060"/>
    <x v="54"/>
    <x v="2"/>
    <x v="1"/>
    <x v="9"/>
    <x v="1"/>
    <x v="1"/>
    <x v="3"/>
    <x v="5"/>
    <x v="53"/>
  </r>
  <r>
    <s v="BLG-0061"/>
    <x v="21"/>
    <x v="1"/>
    <x v="1"/>
    <x v="4"/>
    <x v="0"/>
    <x v="1"/>
    <x v="1"/>
    <x v="3"/>
    <x v="54"/>
  </r>
  <r>
    <s v="BLG-0062"/>
    <x v="55"/>
    <x v="2"/>
    <x v="1"/>
    <x v="1"/>
    <x v="0"/>
    <x v="0"/>
    <x v="1"/>
    <x v="17"/>
    <x v="55"/>
  </r>
  <r>
    <s v="BLG-0063"/>
    <x v="35"/>
    <x v="15"/>
    <x v="2"/>
    <x v="5"/>
    <x v="2"/>
    <x v="1"/>
    <x v="3"/>
    <x v="0"/>
    <x v="3"/>
  </r>
  <r>
    <s v="BLG-0064"/>
    <x v="56"/>
    <x v="11"/>
    <x v="0"/>
    <x v="6"/>
    <x v="2"/>
    <x v="0"/>
    <x v="1"/>
    <x v="1"/>
    <x v="3"/>
  </r>
  <r>
    <s v="BLG-0065"/>
    <x v="57"/>
    <x v="8"/>
    <x v="0"/>
    <x v="7"/>
    <x v="0"/>
    <x v="1"/>
    <x v="2"/>
    <x v="2"/>
    <x v="56"/>
  </r>
  <r>
    <s v="BLG-0066"/>
    <x v="58"/>
    <x v="6"/>
    <x v="1"/>
    <x v="9"/>
    <x v="1"/>
    <x v="2"/>
    <x v="1"/>
    <x v="20"/>
    <x v="57"/>
  </r>
  <r>
    <s v="BLG-0067"/>
    <x v="55"/>
    <x v="17"/>
    <x v="1"/>
    <x v="5"/>
    <x v="0"/>
    <x v="1"/>
    <x v="3"/>
    <x v="4"/>
    <x v="58"/>
  </r>
  <r>
    <s v="BLG-0068"/>
    <x v="19"/>
    <x v="6"/>
    <x v="0"/>
    <x v="3"/>
    <x v="0"/>
    <x v="1"/>
    <x v="1"/>
    <x v="2"/>
    <x v="59"/>
  </r>
  <r>
    <s v="BLG-0069"/>
    <x v="59"/>
    <x v="12"/>
    <x v="0"/>
    <x v="5"/>
    <x v="2"/>
    <x v="1"/>
    <x v="0"/>
    <x v="6"/>
    <x v="3"/>
  </r>
  <r>
    <s v="BLG-0070"/>
    <x v="49"/>
    <x v="13"/>
    <x v="0"/>
    <x v="0"/>
    <x v="0"/>
    <x v="0"/>
    <x v="1"/>
    <x v="8"/>
    <x v="60"/>
  </r>
  <r>
    <s v="BLG-0071"/>
    <x v="60"/>
    <x v="5"/>
    <x v="1"/>
    <x v="0"/>
    <x v="0"/>
    <x v="1"/>
    <x v="0"/>
    <x v="19"/>
    <x v="61"/>
  </r>
  <r>
    <s v="BLG-0072"/>
    <x v="61"/>
    <x v="12"/>
    <x v="0"/>
    <x v="9"/>
    <x v="0"/>
    <x v="1"/>
    <x v="2"/>
    <x v="9"/>
    <x v="62"/>
  </r>
  <r>
    <s v="BLG-0073"/>
    <x v="62"/>
    <x v="14"/>
    <x v="0"/>
    <x v="6"/>
    <x v="0"/>
    <x v="0"/>
    <x v="2"/>
    <x v="1"/>
    <x v="63"/>
  </r>
  <r>
    <s v="BLG-0074"/>
    <x v="63"/>
    <x v="10"/>
    <x v="0"/>
    <x v="7"/>
    <x v="0"/>
    <x v="0"/>
    <x v="1"/>
    <x v="8"/>
    <x v="64"/>
  </r>
  <r>
    <s v="BLG-0075"/>
    <x v="64"/>
    <x v="13"/>
    <x v="0"/>
    <x v="1"/>
    <x v="0"/>
    <x v="1"/>
    <x v="1"/>
    <x v="8"/>
    <x v="65"/>
  </r>
  <r>
    <s v="BLG-0076"/>
    <x v="65"/>
    <x v="0"/>
    <x v="1"/>
    <x v="9"/>
    <x v="0"/>
    <x v="0"/>
    <x v="1"/>
    <x v="1"/>
    <x v="66"/>
  </r>
  <r>
    <s v="BLG-0077"/>
    <x v="66"/>
    <x v="3"/>
    <x v="2"/>
    <x v="1"/>
    <x v="1"/>
    <x v="0"/>
    <x v="2"/>
    <x v="1"/>
    <x v="67"/>
  </r>
  <r>
    <s v="BLG-0078"/>
    <x v="41"/>
    <x v="4"/>
    <x v="1"/>
    <x v="4"/>
    <x v="0"/>
    <x v="0"/>
    <x v="0"/>
    <x v="3"/>
    <x v="68"/>
  </r>
  <r>
    <s v="BLG-0079"/>
    <x v="37"/>
    <x v="3"/>
    <x v="0"/>
    <x v="1"/>
    <x v="0"/>
    <x v="1"/>
    <x v="1"/>
    <x v="1"/>
    <x v="69"/>
  </r>
  <r>
    <s v="BLG-0080"/>
    <x v="18"/>
    <x v="11"/>
    <x v="0"/>
    <x v="0"/>
    <x v="2"/>
    <x v="1"/>
    <x v="1"/>
    <x v="16"/>
    <x v="3"/>
  </r>
  <r>
    <s v="BLG-0081"/>
    <x v="67"/>
    <x v="10"/>
    <x v="0"/>
    <x v="5"/>
    <x v="0"/>
    <x v="2"/>
    <x v="2"/>
    <x v="3"/>
    <x v="70"/>
  </r>
  <r>
    <s v="BLG-0082"/>
    <x v="68"/>
    <x v="4"/>
    <x v="0"/>
    <x v="9"/>
    <x v="0"/>
    <x v="1"/>
    <x v="1"/>
    <x v="0"/>
    <x v="71"/>
  </r>
  <r>
    <s v="BLG-0083"/>
    <x v="69"/>
    <x v="1"/>
    <x v="1"/>
    <x v="6"/>
    <x v="0"/>
    <x v="1"/>
    <x v="1"/>
    <x v="21"/>
    <x v="72"/>
  </r>
  <r>
    <s v="BLG-0084"/>
    <x v="50"/>
    <x v="2"/>
    <x v="0"/>
    <x v="6"/>
    <x v="0"/>
    <x v="1"/>
    <x v="1"/>
    <x v="16"/>
    <x v="73"/>
  </r>
  <r>
    <s v="BLG-0085"/>
    <x v="24"/>
    <x v="17"/>
    <x v="1"/>
    <x v="5"/>
    <x v="0"/>
    <x v="1"/>
    <x v="1"/>
    <x v="0"/>
    <x v="74"/>
  </r>
  <r>
    <s v="BLG-0086"/>
    <x v="70"/>
    <x v="17"/>
    <x v="1"/>
    <x v="0"/>
    <x v="3"/>
    <x v="0"/>
    <x v="0"/>
    <x v="12"/>
    <x v="75"/>
  </r>
  <r>
    <s v="BLG-0087"/>
    <x v="71"/>
    <x v="12"/>
    <x v="0"/>
    <x v="6"/>
    <x v="2"/>
    <x v="0"/>
    <x v="1"/>
    <x v="0"/>
    <x v="3"/>
  </r>
  <r>
    <s v="BLG-0088"/>
    <x v="20"/>
    <x v="10"/>
    <x v="0"/>
    <x v="3"/>
    <x v="0"/>
    <x v="1"/>
    <x v="1"/>
    <x v="16"/>
    <x v="76"/>
  </r>
  <r>
    <s v="BLG-0089"/>
    <x v="72"/>
    <x v="6"/>
    <x v="1"/>
    <x v="9"/>
    <x v="0"/>
    <x v="0"/>
    <x v="2"/>
    <x v="17"/>
    <x v="77"/>
  </r>
  <r>
    <s v="BLG-0090"/>
    <x v="73"/>
    <x v="8"/>
    <x v="0"/>
    <x v="0"/>
    <x v="2"/>
    <x v="1"/>
    <x v="3"/>
    <x v="14"/>
    <x v="3"/>
  </r>
  <r>
    <s v="BLG-0091"/>
    <x v="74"/>
    <x v="9"/>
    <x v="1"/>
    <x v="9"/>
    <x v="0"/>
    <x v="1"/>
    <x v="1"/>
    <x v="1"/>
    <x v="78"/>
  </r>
  <r>
    <s v="BLG-0092"/>
    <x v="75"/>
    <x v="9"/>
    <x v="1"/>
    <x v="1"/>
    <x v="0"/>
    <x v="0"/>
    <x v="2"/>
    <x v="11"/>
    <x v="79"/>
  </r>
  <r>
    <s v="BLG-0093"/>
    <x v="76"/>
    <x v="2"/>
    <x v="1"/>
    <x v="0"/>
    <x v="0"/>
    <x v="0"/>
    <x v="4"/>
    <x v="13"/>
    <x v="80"/>
  </r>
  <r>
    <s v="BLG-0094"/>
    <x v="77"/>
    <x v="8"/>
    <x v="0"/>
    <x v="7"/>
    <x v="1"/>
    <x v="1"/>
    <x v="3"/>
    <x v="6"/>
    <x v="81"/>
  </r>
  <r>
    <s v="BLG-0095"/>
    <x v="78"/>
    <x v="17"/>
    <x v="0"/>
    <x v="6"/>
    <x v="1"/>
    <x v="0"/>
    <x v="1"/>
    <x v="14"/>
    <x v="82"/>
  </r>
  <r>
    <s v="BLG-0096"/>
    <x v="79"/>
    <x v="16"/>
    <x v="0"/>
    <x v="5"/>
    <x v="2"/>
    <x v="0"/>
    <x v="1"/>
    <x v="0"/>
    <x v="3"/>
  </r>
  <r>
    <s v="BLG-0097"/>
    <x v="73"/>
    <x v="16"/>
    <x v="0"/>
    <x v="3"/>
    <x v="0"/>
    <x v="1"/>
    <x v="4"/>
    <x v="9"/>
    <x v="83"/>
  </r>
  <r>
    <s v="BLG-0098"/>
    <x v="80"/>
    <x v="3"/>
    <x v="1"/>
    <x v="2"/>
    <x v="2"/>
    <x v="1"/>
    <x v="1"/>
    <x v="13"/>
    <x v="3"/>
  </r>
  <r>
    <s v="BLG-0099"/>
    <x v="79"/>
    <x v="3"/>
    <x v="0"/>
    <x v="3"/>
    <x v="0"/>
    <x v="1"/>
    <x v="1"/>
    <x v="3"/>
    <x v="84"/>
  </r>
  <r>
    <s v="BLG-0100"/>
    <x v="63"/>
    <x v="6"/>
    <x v="0"/>
    <x v="0"/>
    <x v="0"/>
    <x v="1"/>
    <x v="1"/>
    <x v="9"/>
    <x v="85"/>
  </r>
  <r>
    <s v="BLG-0101"/>
    <x v="81"/>
    <x v="11"/>
    <x v="0"/>
    <x v="5"/>
    <x v="1"/>
    <x v="1"/>
    <x v="1"/>
    <x v="7"/>
    <x v="86"/>
  </r>
  <r>
    <s v="BLG-0102"/>
    <x v="82"/>
    <x v="13"/>
    <x v="2"/>
    <x v="1"/>
    <x v="0"/>
    <x v="1"/>
    <x v="1"/>
    <x v="14"/>
    <x v="87"/>
  </r>
  <r>
    <s v="BLG-0103"/>
    <x v="72"/>
    <x v="8"/>
    <x v="0"/>
    <x v="9"/>
    <x v="0"/>
    <x v="0"/>
    <x v="0"/>
    <x v="7"/>
    <x v="88"/>
  </r>
  <r>
    <s v="BLG-0104"/>
    <x v="83"/>
    <x v="4"/>
    <x v="0"/>
    <x v="7"/>
    <x v="0"/>
    <x v="1"/>
    <x v="0"/>
    <x v="1"/>
    <x v="89"/>
  </r>
  <r>
    <s v="BLG-0105"/>
    <x v="84"/>
    <x v="5"/>
    <x v="0"/>
    <x v="5"/>
    <x v="0"/>
    <x v="0"/>
    <x v="1"/>
    <x v="1"/>
    <x v="90"/>
  </r>
  <r>
    <s v="BLG-0106"/>
    <x v="85"/>
    <x v="11"/>
    <x v="0"/>
    <x v="7"/>
    <x v="0"/>
    <x v="0"/>
    <x v="0"/>
    <x v="14"/>
    <x v="91"/>
  </r>
  <r>
    <s v="BLG-0107"/>
    <x v="86"/>
    <x v="1"/>
    <x v="0"/>
    <x v="9"/>
    <x v="0"/>
    <x v="0"/>
    <x v="1"/>
    <x v="16"/>
    <x v="92"/>
  </r>
  <r>
    <s v="BLG-0108"/>
    <x v="87"/>
    <x v="14"/>
    <x v="0"/>
    <x v="6"/>
    <x v="2"/>
    <x v="1"/>
    <x v="0"/>
    <x v="16"/>
    <x v="3"/>
  </r>
  <r>
    <s v="BLG-0109"/>
    <x v="88"/>
    <x v="13"/>
    <x v="2"/>
    <x v="0"/>
    <x v="2"/>
    <x v="0"/>
    <x v="0"/>
    <x v="16"/>
    <x v="3"/>
  </r>
  <r>
    <s v="BLG-0110"/>
    <x v="89"/>
    <x v="5"/>
    <x v="2"/>
    <x v="2"/>
    <x v="0"/>
    <x v="0"/>
    <x v="1"/>
    <x v="9"/>
    <x v="93"/>
  </r>
  <r>
    <s v="BLG-0111"/>
    <x v="90"/>
    <x v="2"/>
    <x v="0"/>
    <x v="2"/>
    <x v="3"/>
    <x v="1"/>
    <x v="1"/>
    <x v="8"/>
    <x v="94"/>
  </r>
  <r>
    <s v="BLG-0112"/>
    <x v="91"/>
    <x v="12"/>
    <x v="2"/>
    <x v="0"/>
    <x v="0"/>
    <x v="0"/>
    <x v="3"/>
    <x v="15"/>
    <x v="95"/>
  </r>
  <r>
    <s v="BLG-0113"/>
    <x v="92"/>
    <x v="1"/>
    <x v="0"/>
    <x v="5"/>
    <x v="0"/>
    <x v="0"/>
    <x v="1"/>
    <x v="2"/>
    <x v="96"/>
  </r>
  <r>
    <s v="BLG-0114"/>
    <x v="93"/>
    <x v="17"/>
    <x v="0"/>
    <x v="6"/>
    <x v="2"/>
    <x v="0"/>
    <x v="2"/>
    <x v="1"/>
    <x v="3"/>
  </r>
  <r>
    <s v="BLG-0115"/>
    <x v="94"/>
    <x v="1"/>
    <x v="1"/>
    <x v="1"/>
    <x v="0"/>
    <x v="1"/>
    <x v="1"/>
    <x v="22"/>
    <x v="97"/>
  </r>
  <r>
    <s v="BLG-0116"/>
    <x v="86"/>
    <x v="7"/>
    <x v="0"/>
    <x v="0"/>
    <x v="3"/>
    <x v="2"/>
    <x v="2"/>
    <x v="3"/>
    <x v="98"/>
  </r>
  <r>
    <s v="BLG-0117"/>
    <x v="95"/>
    <x v="15"/>
    <x v="0"/>
    <x v="7"/>
    <x v="3"/>
    <x v="0"/>
    <x v="1"/>
    <x v="3"/>
    <x v="99"/>
  </r>
  <r>
    <s v="BLG-0118"/>
    <x v="70"/>
    <x v="16"/>
    <x v="1"/>
    <x v="5"/>
    <x v="0"/>
    <x v="2"/>
    <x v="4"/>
    <x v="20"/>
    <x v="100"/>
  </r>
  <r>
    <s v="BLG-0119"/>
    <x v="96"/>
    <x v="0"/>
    <x v="1"/>
    <x v="1"/>
    <x v="0"/>
    <x v="0"/>
    <x v="1"/>
    <x v="11"/>
    <x v="101"/>
  </r>
  <r>
    <s v="BLG-0120"/>
    <x v="37"/>
    <x v="1"/>
    <x v="0"/>
    <x v="9"/>
    <x v="0"/>
    <x v="1"/>
    <x v="1"/>
    <x v="9"/>
    <x v="102"/>
  </r>
  <r>
    <s v="BLG-0121"/>
    <x v="35"/>
    <x v="6"/>
    <x v="0"/>
    <x v="4"/>
    <x v="0"/>
    <x v="0"/>
    <x v="2"/>
    <x v="0"/>
    <x v="103"/>
  </r>
  <r>
    <s v="BLG-0122"/>
    <x v="97"/>
    <x v="1"/>
    <x v="2"/>
    <x v="2"/>
    <x v="0"/>
    <x v="1"/>
    <x v="0"/>
    <x v="22"/>
    <x v="104"/>
  </r>
  <r>
    <s v="BLG-0123"/>
    <x v="98"/>
    <x v="16"/>
    <x v="0"/>
    <x v="0"/>
    <x v="0"/>
    <x v="1"/>
    <x v="1"/>
    <x v="1"/>
    <x v="105"/>
  </r>
  <r>
    <s v="BLG-0124"/>
    <x v="99"/>
    <x v="9"/>
    <x v="0"/>
    <x v="1"/>
    <x v="1"/>
    <x v="0"/>
    <x v="0"/>
    <x v="0"/>
    <x v="106"/>
  </r>
  <r>
    <s v="BLG-0125"/>
    <x v="100"/>
    <x v="17"/>
    <x v="0"/>
    <x v="0"/>
    <x v="0"/>
    <x v="1"/>
    <x v="1"/>
    <x v="3"/>
    <x v="107"/>
  </r>
  <r>
    <s v="BLG-0126"/>
    <x v="101"/>
    <x v="2"/>
    <x v="0"/>
    <x v="1"/>
    <x v="3"/>
    <x v="1"/>
    <x v="2"/>
    <x v="3"/>
    <x v="108"/>
  </r>
  <r>
    <s v="BLG-0127"/>
    <x v="102"/>
    <x v="16"/>
    <x v="0"/>
    <x v="5"/>
    <x v="0"/>
    <x v="1"/>
    <x v="1"/>
    <x v="9"/>
    <x v="109"/>
  </r>
  <r>
    <s v="BLG-0128"/>
    <x v="1"/>
    <x v="1"/>
    <x v="2"/>
    <x v="5"/>
    <x v="0"/>
    <x v="1"/>
    <x v="1"/>
    <x v="23"/>
    <x v="110"/>
  </r>
  <r>
    <s v="BLG-0129"/>
    <x v="23"/>
    <x v="7"/>
    <x v="0"/>
    <x v="0"/>
    <x v="0"/>
    <x v="1"/>
    <x v="0"/>
    <x v="1"/>
    <x v="111"/>
  </r>
  <r>
    <s v="BLG-0130"/>
    <x v="9"/>
    <x v="8"/>
    <x v="0"/>
    <x v="8"/>
    <x v="2"/>
    <x v="1"/>
    <x v="1"/>
    <x v="16"/>
    <x v="3"/>
  </r>
  <r>
    <s v="BLG-0131"/>
    <x v="103"/>
    <x v="15"/>
    <x v="0"/>
    <x v="1"/>
    <x v="0"/>
    <x v="1"/>
    <x v="2"/>
    <x v="8"/>
    <x v="112"/>
  </r>
  <r>
    <s v="BLG-0132"/>
    <x v="104"/>
    <x v="10"/>
    <x v="0"/>
    <x v="9"/>
    <x v="0"/>
    <x v="1"/>
    <x v="1"/>
    <x v="1"/>
    <x v="113"/>
  </r>
  <r>
    <s v="BLG-0133"/>
    <x v="105"/>
    <x v="16"/>
    <x v="0"/>
    <x v="5"/>
    <x v="0"/>
    <x v="1"/>
    <x v="0"/>
    <x v="2"/>
    <x v="114"/>
  </r>
  <r>
    <s v="BLG-0134"/>
    <x v="87"/>
    <x v="2"/>
    <x v="0"/>
    <x v="5"/>
    <x v="0"/>
    <x v="1"/>
    <x v="0"/>
    <x v="1"/>
    <x v="115"/>
  </r>
  <r>
    <s v="BLG-0135"/>
    <x v="106"/>
    <x v="4"/>
    <x v="0"/>
    <x v="7"/>
    <x v="0"/>
    <x v="1"/>
    <x v="1"/>
    <x v="6"/>
    <x v="116"/>
  </r>
  <r>
    <s v="BLG-0136"/>
    <x v="107"/>
    <x v="12"/>
    <x v="0"/>
    <x v="5"/>
    <x v="0"/>
    <x v="1"/>
    <x v="0"/>
    <x v="6"/>
    <x v="117"/>
  </r>
  <r>
    <s v="BLG-0137"/>
    <x v="108"/>
    <x v="7"/>
    <x v="0"/>
    <x v="2"/>
    <x v="0"/>
    <x v="1"/>
    <x v="3"/>
    <x v="9"/>
    <x v="118"/>
  </r>
  <r>
    <s v="BLG-0138"/>
    <x v="109"/>
    <x v="5"/>
    <x v="1"/>
    <x v="9"/>
    <x v="0"/>
    <x v="1"/>
    <x v="1"/>
    <x v="24"/>
    <x v="119"/>
  </r>
  <r>
    <s v="BLG-0139"/>
    <x v="110"/>
    <x v="3"/>
    <x v="0"/>
    <x v="1"/>
    <x v="0"/>
    <x v="1"/>
    <x v="1"/>
    <x v="16"/>
    <x v="120"/>
  </r>
  <r>
    <s v="BLG-0140"/>
    <x v="60"/>
    <x v="12"/>
    <x v="1"/>
    <x v="1"/>
    <x v="0"/>
    <x v="1"/>
    <x v="1"/>
    <x v="22"/>
    <x v="121"/>
  </r>
  <r>
    <s v="BLG-0141"/>
    <x v="86"/>
    <x v="16"/>
    <x v="0"/>
    <x v="1"/>
    <x v="0"/>
    <x v="0"/>
    <x v="2"/>
    <x v="3"/>
    <x v="122"/>
  </r>
  <r>
    <s v="BLG-0142"/>
    <x v="56"/>
    <x v="13"/>
    <x v="0"/>
    <x v="5"/>
    <x v="0"/>
    <x v="0"/>
    <x v="2"/>
    <x v="1"/>
    <x v="123"/>
  </r>
  <r>
    <s v="BLG-0143"/>
    <x v="56"/>
    <x v="12"/>
    <x v="0"/>
    <x v="1"/>
    <x v="0"/>
    <x v="1"/>
    <x v="1"/>
    <x v="8"/>
    <x v="124"/>
  </r>
  <r>
    <s v="BLG-0144"/>
    <x v="27"/>
    <x v="4"/>
    <x v="0"/>
    <x v="1"/>
    <x v="0"/>
    <x v="1"/>
    <x v="0"/>
    <x v="3"/>
    <x v="125"/>
  </r>
  <r>
    <s v="BLG-0145"/>
    <x v="76"/>
    <x v="5"/>
    <x v="0"/>
    <x v="5"/>
    <x v="1"/>
    <x v="0"/>
    <x v="1"/>
    <x v="1"/>
    <x v="126"/>
  </r>
  <r>
    <s v="BLG-0146"/>
    <x v="111"/>
    <x v="13"/>
    <x v="0"/>
    <x v="4"/>
    <x v="0"/>
    <x v="0"/>
    <x v="2"/>
    <x v="3"/>
    <x v="127"/>
  </r>
  <r>
    <s v="BLG-0147"/>
    <x v="112"/>
    <x v="6"/>
    <x v="0"/>
    <x v="5"/>
    <x v="0"/>
    <x v="2"/>
    <x v="1"/>
    <x v="9"/>
    <x v="128"/>
  </r>
  <r>
    <s v="BLG-0148"/>
    <x v="105"/>
    <x v="12"/>
    <x v="0"/>
    <x v="1"/>
    <x v="0"/>
    <x v="1"/>
    <x v="2"/>
    <x v="1"/>
    <x v="129"/>
  </r>
  <r>
    <s v="BLG-0149"/>
    <x v="113"/>
    <x v="3"/>
    <x v="0"/>
    <x v="1"/>
    <x v="0"/>
    <x v="2"/>
    <x v="0"/>
    <x v="7"/>
    <x v="130"/>
  </r>
  <r>
    <s v="BLG-0150"/>
    <x v="114"/>
    <x v="4"/>
    <x v="0"/>
    <x v="3"/>
    <x v="0"/>
    <x v="1"/>
    <x v="0"/>
    <x v="0"/>
    <x v="131"/>
  </r>
  <r>
    <s v="BLG-0151"/>
    <x v="6"/>
    <x v="17"/>
    <x v="0"/>
    <x v="1"/>
    <x v="0"/>
    <x v="2"/>
    <x v="1"/>
    <x v="2"/>
    <x v="132"/>
  </r>
  <r>
    <s v="BLG-0152"/>
    <x v="115"/>
    <x v="16"/>
    <x v="0"/>
    <x v="2"/>
    <x v="0"/>
    <x v="0"/>
    <x v="2"/>
    <x v="0"/>
    <x v="133"/>
  </r>
  <r>
    <s v="BLG-0153"/>
    <x v="3"/>
    <x v="16"/>
    <x v="0"/>
    <x v="1"/>
    <x v="0"/>
    <x v="0"/>
    <x v="0"/>
    <x v="14"/>
    <x v="134"/>
  </r>
  <r>
    <s v="BLG-0154"/>
    <x v="116"/>
    <x v="17"/>
    <x v="0"/>
    <x v="6"/>
    <x v="3"/>
    <x v="0"/>
    <x v="2"/>
    <x v="2"/>
    <x v="135"/>
  </r>
  <r>
    <s v="BLG-0155"/>
    <x v="117"/>
    <x v="4"/>
    <x v="2"/>
    <x v="6"/>
    <x v="2"/>
    <x v="1"/>
    <x v="0"/>
    <x v="22"/>
    <x v="3"/>
  </r>
  <r>
    <s v="BLG-0156"/>
    <x v="118"/>
    <x v="9"/>
    <x v="0"/>
    <x v="4"/>
    <x v="1"/>
    <x v="0"/>
    <x v="1"/>
    <x v="16"/>
    <x v="136"/>
  </r>
  <r>
    <s v="BLG-0157"/>
    <x v="102"/>
    <x v="8"/>
    <x v="2"/>
    <x v="6"/>
    <x v="0"/>
    <x v="1"/>
    <x v="1"/>
    <x v="2"/>
    <x v="137"/>
  </r>
  <r>
    <s v="BLG-0158"/>
    <x v="119"/>
    <x v="17"/>
    <x v="0"/>
    <x v="8"/>
    <x v="1"/>
    <x v="0"/>
    <x v="3"/>
    <x v="7"/>
    <x v="138"/>
  </r>
  <r>
    <s v="BLG-0159"/>
    <x v="120"/>
    <x v="7"/>
    <x v="0"/>
    <x v="4"/>
    <x v="0"/>
    <x v="1"/>
    <x v="3"/>
    <x v="14"/>
    <x v="139"/>
  </r>
  <r>
    <s v="BLG-0160"/>
    <x v="121"/>
    <x v="16"/>
    <x v="1"/>
    <x v="9"/>
    <x v="0"/>
    <x v="2"/>
    <x v="1"/>
    <x v="15"/>
    <x v="140"/>
  </r>
  <r>
    <s v="BLG-0161"/>
    <x v="122"/>
    <x v="9"/>
    <x v="0"/>
    <x v="6"/>
    <x v="0"/>
    <x v="1"/>
    <x v="1"/>
    <x v="1"/>
    <x v="141"/>
  </r>
  <r>
    <s v="BLG-0162"/>
    <x v="123"/>
    <x v="13"/>
    <x v="0"/>
    <x v="1"/>
    <x v="0"/>
    <x v="1"/>
    <x v="1"/>
    <x v="7"/>
    <x v="142"/>
  </r>
  <r>
    <s v="BLG-0163"/>
    <x v="124"/>
    <x v="11"/>
    <x v="0"/>
    <x v="1"/>
    <x v="0"/>
    <x v="1"/>
    <x v="1"/>
    <x v="0"/>
    <x v="143"/>
  </r>
  <r>
    <s v="BLG-0164"/>
    <x v="76"/>
    <x v="8"/>
    <x v="0"/>
    <x v="8"/>
    <x v="0"/>
    <x v="1"/>
    <x v="1"/>
    <x v="8"/>
    <x v="144"/>
  </r>
  <r>
    <s v="BLG-0165"/>
    <x v="25"/>
    <x v="7"/>
    <x v="0"/>
    <x v="3"/>
    <x v="0"/>
    <x v="0"/>
    <x v="2"/>
    <x v="14"/>
    <x v="145"/>
  </r>
  <r>
    <s v="BLG-0166"/>
    <x v="125"/>
    <x v="12"/>
    <x v="1"/>
    <x v="1"/>
    <x v="1"/>
    <x v="1"/>
    <x v="0"/>
    <x v="17"/>
    <x v="146"/>
  </r>
  <r>
    <s v="BLG-0167"/>
    <x v="126"/>
    <x v="6"/>
    <x v="0"/>
    <x v="1"/>
    <x v="1"/>
    <x v="0"/>
    <x v="1"/>
    <x v="16"/>
    <x v="147"/>
  </r>
  <r>
    <s v="BLG-0168"/>
    <x v="127"/>
    <x v="13"/>
    <x v="0"/>
    <x v="6"/>
    <x v="0"/>
    <x v="1"/>
    <x v="2"/>
    <x v="9"/>
    <x v="148"/>
  </r>
  <r>
    <s v="BLG-0169"/>
    <x v="128"/>
    <x v="17"/>
    <x v="1"/>
    <x v="6"/>
    <x v="2"/>
    <x v="1"/>
    <x v="4"/>
    <x v="13"/>
    <x v="3"/>
  </r>
  <r>
    <s v="BLG-0170"/>
    <x v="128"/>
    <x v="9"/>
    <x v="0"/>
    <x v="1"/>
    <x v="0"/>
    <x v="1"/>
    <x v="4"/>
    <x v="14"/>
    <x v="149"/>
  </r>
  <r>
    <s v="BLG-0171"/>
    <x v="111"/>
    <x v="0"/>
    <x v="0"/>
    <x v="3"/>
    <x v="0"/>
    <x v="0"/>
    <x v="1"/>
    <x v="2"/>
    <x v="150"/>
  </r>
  <r>
    <s v="BLG-0172"/>
    <x v="129"/>
    <x v="7"/>
    <x v="0"/>
    <x v="9"/>
    <x v="0"/>
    <x v="0"/>
    <x v="1"/>
    <x v="7"/>
    <x v="151"/>
  </r>
  <r>
    <s v="BLG-0173"/>
    <x v="130"/>
    <x v="14"/>
    <x v="2"/>
    <x v="1"/>
    <x v="0"/>
    <x v="0"/>
    <x v="1"/>
    <x v="16"/>
    <x v="152"/>
  </r>
  <r>
    <s v="BLG-0174"/>
    <x v="110"/>
    <x v="5"/>
    <x v="2"/>
    <x v="1"/>
    <x v="0"/>
    <x v="1"/>
    <x v="1"/>
    <x v="22"/>
    <x v="153"/>
  </r>
  <r>
    <s v="BLG-0175"/>
    <x v="104"/>
    <x v="7"/>
    <x v="0"/>
    <x v="3"/>
    <x v="0"/>
    <x v="1"/>
    <x v="2"/>
    <x v="2"/>
    <x v="154"/>
  </r>
  <r>
    <s v="BLG-0176"/>
    <x v="91"/>
    <x v="0"/>
    <x v="0"/>
    <x v="0"/>
    <x v="0"/>
    <x v="2"/>
    <x v="1"/>
    <x v="2"/>
    <x v="155"/>
  </r>
  <r>
    <s v="BLG-0177"/>
    <x v="131"/>
    <x v="3"/>
    <x v="0"/>
    <x v="8"/>
    <x v="0"/>
    <x v="1"/>
    <x v="0"/>
    <x v="9"/>
    <x v="156"/>
  </r>
  <r>
    <s v="BLG-0178"/>
    <x v="132"/>
    <x v="8"/>
    <x v="0"/>
    <x v="8"/>
    <x v="2"/>
    <x v="0"/>
    <x v="3"/>
    <x v="14"/>
    <x v="3"/>
  </r>
  <r>
    <s v="BLG-0179"/>
    <x v="36"/>
    <x v="11"/>
    <x v="0"/>
    <x v="1"/>
    <x v="0"/>
    <x v="0"/>
    <x v="1"/>
    <x v="0"/>
    <x v="157"/>
  </r>
  <r>
    <s v="BLG-0180"/>
    <x v="52"/>
    <x v="8"/>
    <x v="0"/>
    <x v="8"/>
    <x v="0"/>
    <x v="1"/>
    <x v="0"/>
    <x v="2"/>
    <x v="158"/>
  </r>
  <r>
    <s v="BLG-0181"/>
    <x v="133"/>
    <x v="3"/>
    <x v="0"/>
    <x v="0"/>
    <x v="0"/>
    <x v="1"/>
    <x v="0"/>
    <x v="14"/>
    <x v="159"/>
  </r>
  <r>
    <s v="BLG-0182"/>
    <x v="134"/>
    <x v="14"/>
    <x v="1"/>
    <x v="1"/>
    <x v="0"/>
    <x v="0"/>
    <x v="2"/>
    <x v="10"/>
    <x v="160"/>
  </r>
  <r>
    <s v="BLG-0183"/>
    <x v="135"/>
    <x v="14"/>
    <x v="0"/>
    <x v="6"/>
    <x v="0"/>
    <x v="2"/>
    <x v="2"/>
    <x v="3"/>
    <x v="161"/>
  </r>
  <r>
    <s v="BLG-0184"/>
    <x v="58"/>
    <x v="8"/>
    <x v="0"/>
    <x v="3"/>
    <x v="0"/>
    <x v="1"/>
    <x v="0"/>
    <x v="1"/>
    <x v="162"/>
  </r>
  <r>
    <s v="BLG-0185"/>
    <x v="14"/>
    <x v="14"/>
    <x v="1"/>
    <x v="6"/>
    <x v="0"/>
    <x v="0"/>
    <x v="0"/>
    <x v="9"/>
    <x v="163"/>
  </r>
  <r>
    <s v="BLG-0186"/>
    <x v="95"/>
    <x v="2"/>
    <x v="1"/>
    <x v="6"/>
    <x v="0"/>
    <x v="0"/>
    <x v="0"/>
    <x v="20"/>
    <x v="164"/>
  </r>
  <r>
    <s v="BLG-0187"/>
    <x v="136"/>
    <x v="13"/>
    <x v="0"/>
    <x v="2"/>
    <x v="0"/>
    <x v="1"/>
    <x v="0"/>
    <x v="14"/>
    <x v="165"/>
  </r>
  <r>
    <s v="BLG-0188"/>
    <x v="137"/>
    <x v="6"/>
    <x v="0"/>
    <x v="5"/>
    <x v="0"/>
    <x v="0"/>
    <x v="2"/>
    <x v="9"/>
    <x v="166"/>
  </r>
  <r>
    <s v="BLG-0189"/>
    <x v="138"/>
    <x v="7"/>
    <x v="0"/>
    <x v="1"/>
    <x v="0"/>
    <x v="1"/>
    <x v="1"/>
    <x v="14"/>
    <x v="167"/>
  </r>
  <r>
    <s v="BLG-0190"/>
    <x v="107"/>
    <x v="5"/>
    <x v="1"/>
    <x v="9"/>
    <x v="3"/>
    <x v="2"/>
    <x v="2"/>
    <x v="21"/>
    <x v="168"/>
  </r>
  <r>
    <s v="BLG-0191"/>
    <x v="139"/>
    <x v="14"/>
    <x v="0"/>
    <x v="5"/>
    <x v="0"/>
    <x v="1"/>
    <x v="1"/>
    <x v="7"/>
    <x v="169"/>
  </r>
  <r>
    <s v="BLG-0192"/>
    <x v="82"/>
    <x v="10"/>
    <x v="0"/>
    <x v="1"/>
    <x v="0"/>
    <x v="0"/>
    <x v="2"/>
    <x v="2"/>
    <x v="170"/>
  </r>
  <r>
    <s v="BLG-0193"/>
    <x v="31"/>
    <x v="0"/>
    <x v="0"/>
    <x v="8"/>
    <x v="1"/>
    <x v="0"/>
    <x v="1"/>
    <x v="7"/>
    <x v="171"/>
  </r>
  <r>
    <s v="BLG-0194"/>
    <x v="91"/>
    <x v="10"/>
    <x v="0"/>
    <x v="0"/>
    <x v="0"/>
    <x v="1"/>
    <x v="0"/>
    <x v="1"/>
    <x v="172"/>
  </r>
  <r>
    <s v="BLG-0195"/>
    <x v="140"/>
    <x v="16"/>
    <x v="2"/>
    <x v="7"/>
    <x v="1"/>
    <x v="1"/>
    <x v="3"/>
    <x v="7"/>
    <x v="173"/>
  </r>
  <r>
    <s v="BLG-0196"/>
    <x v="92"/>
    <x v="1"/>
    <x v="0"/>
    <x v="7"/>
    <x v="0"/>
    <x v="1"/>
    <x v="0"/>
    <x v="0"/>
    <x v="174"/>
  </r>
  <r>
    <s v="BLG-0197"/>
    <x v="141"/>
    <x v="14"/>
    <x v="0"/>
    <x v="5"/>
    <x v="2"/>
    <x v="0"/>
    <x v="0"/>
    <x v="0"/>
    <x v="3"/>
  </r>
  <r>
    <s v="BLG-0198"/>
    <x v="142"/>
    <x v="4"/>
    <x v="0"/>
    <x v="1"/>
    <x v="0"/>
    <x v="1"/>
    <x v="1"/>
    <x v="16"/>
    <x v="175"/>
  </r>
  <r>
    <s v="BLG-0199"/>
    <x v="143"/>
    <x v="15"/>
    <x v="0"/>
    <x v="0"/>
    <x v="0"/>
    <x v="2"/>
    <x v="0"/>
    <x v="6"/>
    <x v="176"/>
  </r>
  <r>
    <s v="BLG-0200"/>
    <x v="144"/>
    <x v="13"/>
    <x v="0"/>
    <x v="3"/>
    <x v="0"/>
    <x v="0"/>
    <x v="1"/>
    <x v="6"/>
    <x v="177"/>
  </r>
  <r>
    <s v="BLG-0201"/>
    <x v="123"/>
    <x v="10"/>
    <x v="0"/>
    <x v="0"/>
    <x v="0"/>
    <x v="0"/>
    <x v="1"/>
    <x v="1"/>
    <x v="178"/>
  </r>
  <r>
    <s v="BLG-0202"/>
    <x v="145"/>
    <x v="16"/>
    <x v="0"/>
    <x v="5"/>
    <x v="3"/>
    <x v="1"/>
    <x v="1"/>
    <x v="14"/>
    <x v="179"/>
  </r>
  <r>
    <s v="BLG-0203"/>
    <x v="146"/>
    <x v="12"/>
    <x v="0"/>
    <x v="3"/>
    <x v="2"/>
    <x v="0"/>
    <x v="2"/>
    <x v="16"/>
    <x v="3"/>
  </r>
  <r>
    <s v="BLG-0204"/>
    <x v="147"/>
    <x v="11"/>
    <x v="0"/>
    <x v="0"/>
    <x v="3"/>
    <x v="2"/>
    <x v="2"/>
    <x v="6"/>
    <x v="180"/>
  </r>
  <r>
    <s v="BLG-0205"/>
    <x v="148"/>
    <x v="12"/>
    <x v="0"/>
    <x v="5"/>
    <x v="3"/>
    <x v="0"/>
    <x v="1"/>
    <x v="1"/>
    <x v="181"/>
  </r>
  <r>
    <s v="BLG-0206"/>
    <x v="7"/>
    <x v="5"/>
    <x v="1"/>
    <x v="4"/>
    <x v="1"/>
    <x v="1"/>
    <x v="1"/>
    <x v="2"/>
    <x v="182"/>
  </r>
  <r>
    <s v="BLG-0207"/>
    <x v="88"/>
    <x v="13"/>
    <x v="0"/>
    <x v="2"/>
    <x v="0"/>
    <x v="1"/>
    <x v="1"/>
    <x v="3"/>
    <x v="183"/>
  </r>
  <r>
    <s v="BLG-0208"/>
    <x v="149"/>
    <x v="11"/>
    <x v="0"/>
    <x v="3"/>
    <x v="0"/>
    <x v="0"/>
    <x v="1"/>
    <x v="7"/>
    <x v="184"/>
  </r>
  <r>
    <s v="BLG-0209"/>
    <x v="121"/>
    <x v="0"/>
    <x v="1"/>
    <x v="1"/>
    <x v="3"/>
    <x v="2"/>
    <x v="1"/>
    <x v="13"/>
    <x v="185"/>
  </r>
  <r>
    <s v="BLG-0210"/>
    <x v="150"/>
    <x v="4"/>
    <x v="0"/>
    <x v="3"/>
    <x v="2"/>
    <x v="1"/>
    <x v="0"/>
    <x v="0"/>
    <x v="3"/>
  </r>
  <r>
    <s v="BLG-0211"/>
    <x v="151"/>
    <x v="14"/>
    <x v="0"/>
    <x v="2"/>
    <x v="3"/>
    <x v="1"/>
    <x v="2"/>
    <x v="2"/>
    <x v="186"/>
  </r>
  <r>
    <s v="BLG-0212"/>
    <x v="107"/>
    <x v="1"/>
    <x v="0"/>
    <x v="5"/>
    <x v="0"/>
    <x v="2"/>
    <x v="1"/>
    <x v="0"/>
    <x v="187"/>
  </r>
  <r>
    <s v="BLG-0213"/>
    <x v="152"/>
    <x v="9"/>
    <x v="0"/>
    <x v="1"/>
    <x v="0"/>
    <x v="1"/>
    <x v="1"/>
    <x v="16"/>
    <x v="188"/>
  </r>
  <r>
    <s v="BLG-0214"/>
    <x v="73"/>
    <x v="12"/>
    <x v="1"/>
    <x v="5"/>
    <x v="1"/>
    <x v="1"/>
    <x v="2"/>
    <x v="23"/>
    <x v="189"/>
  </r>
  <r>
    <s v="BLG-0215"/>
    <x v="153"/>
    <x v="12"/>
    <x v="0"/>
    <x v="3"/>
    <x v="0"/>
    <x v="1"/>
    <x v="1"/>
    <x v="6"/>
    <x v="190"/>
  </r>
  <r>
    <s v="BLG-0216"/>
    <x v="154"/>
    <x v="11"/>
    <x v="0"/>
    <x v="0"/>
    <x v="0"/>
    <x v="0"/>
    <x v="0"/>
    <x v="16"/>
    <x v="191"/>
  </r>
  <r>
    <s v="BLG-0217"/>
    <x v="155"/>
    <x v="1"/>
    <x v="1"/>
    <x v="9"/>
    <x v="0"/>
    <x v="0"/>
    <x v="3"/>
    <x v="18"/>
    <x v="192"/>
  </r>
  <r>
    <s v="BLG-0218"/>
    <x v="0"/>
    <x v="4"/>
    <x v="0"/>
    <x v="0"/>
    <x v="3"/>
    <x v="1"/>
    <x v="1"/>
    <x v="1"/>
    <x v="193"/>
  </r>
  <r>
    <s v="BLG-0219"/>
    <x v="61"/>
    <x v="13"/>
    <x v="1"/>
    <x v="2"/>
    <x v="2"/>
    <x v="0"/>
    <x v="0"/>
    <x v="24"/>
    <x v="3"/>
  </r>
  <r>
    <s v="BLG-0220"/>
    <x v="69"/>
    <x v="9"/>
    <x v="0"/>
    <x v="6"/>
    <x v="0"/>
    <x v="1"/>
    <x v="1"/>
    <x v="0"/>
    <x v="194"/>
  </r>
  <r>
    <s v="BLG-0221"/>
    <x v="156"/>
    <x v="8"/>
    <x v="0"/>
    <x v="7"/>
    <x v="0"/>
    <x v="1"/>
    <x v="1"/>
    <x v="1"/>
    <x v="195"/>
  </r>
  <r>
    <s v="BLG-0222"/>
    <x v="77"/>
    <x v="1"/>
    <x v="0"/>
    <x v="5"/>
    <x v="0"/>
    <x v="1"/>
    <x v="0"/>
    <x v="16"/>
    <x v="196"/>
  </r>
  <r>
    <s v="BLG-0223"/>
    <x v="157"/>
    <x v="2"/>
    <x v="1"/>
    <x v="6"/>
    <x v="0"/>
    <x v="1"/>
    <x v="1"/>
    <x v="2"/>
    <x v="197"/>
  </r>
  <r>
    <s v="BLG-0224"/>
    <x v="22"/>
    <x v="3"/>
    <x v="2"/>
    <x v="9"/>
    <x v="0"/>
    <x v="1"/>
    <x v="1"/>
    <x v="11"/>
    <x v="198"/>
  </r>
  <r>
    <s v="BLG-0225"/>
    <x v="2"/>
    <x v="5"/>
    <x v="0"/>
    <x v="3"/>
    <x v="0"/>
    <x v="1"/>
    <x v="0"/>
    <x v="9"/>
    <x v="199"/>
  </r>
  <r>
    <s v="BLG-0226"/>
    <x v="158"/>
    <x v="5"/>
    <x v="0"/>
    <x v="6"/>
    <x v="0"/>
    <x v="1"/>
    <x v="1"/>
    <x v="16"/>
    <x v="200"/>
  </r>
  <r>
    <s v="BLG-0227"/>
    <x v="127"/>
    <x v="17"/>
    <x v="0"/>
    <x v="2"/>
    <x v="0"/>
    <x v="1"/>
    <x v="1"/>
    <x v="3"/>
    <x v="201"/>
  </r>
  <r>
    <s v="BLG-0228"/>
    <x v="159"/>
    <x v="17"/>
    <x v="0"/>
    <x v="8"/>
    <x v="2"/>
    <x v="1"/>
    <x v="1"/>
    <x v="1"/>
    <x v="3"/>
  </r>
  <r>
    <s v="BLG-0229"/>
    <x v="75"/>
    <x v="1"/>
    <x v="0"/>
    <x v="1"/>
    <x v="0"/>
    <x v="1"/>
    <x v="2"/>
    <x v="8"/>
    <x v="202"/>
  </r>
  <r>
    <s v="BLG-0230"/>
    <x v="107"/>
    <x v="11"/>
    <x v="1"/>
    <x v="6"/>
    <x v="0"/>
    <x v="0"/>
    <x v="0"/>
    <x v="11"/>
    <x v="203"/>
  </r>
  <r>
    <s v="BLG-0231"/>
    <x v="160"/>
    <x v="9"/>
    <x v="0"/>
    <x v="0"/>
    <x v="0"/>
    <x v="2"/>
    <x v="2"/>
    <x v="14"/>
    <x v="204"/>
  </r>
  <r>
    <s v="BLG-0232"/>
    <x v="161"/>
    <x v="8"/>
    <x v="0"/>
    <x v="4"/>
    <x v="3"/>
    <x v="0"/>
    <x v="2"/>
    <x v="9"/>
    <x v="205"/>
  </r>
  <r>
    <s v="BLG-0233"/>
    <x v="162"/>
    <x v="5"/>
    <x v="0"/>
    <x v="5"/>
    <x v="0"/>
    <x v="1"/>
    <x v="2"/>
    <x v="14"/>
    <x v="206"/>
  </r>
  <r>
    <s v="BLG-0234"/>
    <x v="163"/>
    <x v="8"/>
    <x v="0"/>
    <x v="9"/>
    <x v="0"/>
    <x v="1"/>
    <x v="1"/>
    <x v="9"/>
    <x v="207"/>
  </r>
  <r>
    <s v="BLG-0235"/>
    <x v="164"/>
    <x v="7"/>
    <x v="0"/>
    <x v="6"/>
    <x v="0"/>
    <x v="1"/>
    <x v="0"/>
    <x v="1"/>
    <x v="208"/>
  </r>
  <r>
    <s v="BLG-0236"/>
    <x v="27"/>
    <x v="10"/>
    <x v="1"/>
    <x v="5"/>
    <x v="0"/>
    <x v="1"/>
    <x v="1"/>
    <x v="11"/>
    <x v="209"/>
  </r>
  <r>
    <s v="BLG-0237"/>
    <x v="73"/>
    <x v="10"/>
    <x v="2"/>
    <x v="4"/>
    <x v="0"/>
    <x v="2"/>
    <x v="0"/>
    <x v="1"/>
    <x v="210"/>
  </r>
  <r>
    <s v="BLG-0238"/>
    <x v="117"/>
    <x v="8"/>
    <x v="0"/>
    <x v="0"/>
    <x v="0"/>
    <x v="0"/>
    <x v="1"/>
    <x v="9"/>
    <x v="211"/>
  </r>
  <r>
    <s v="BLG-0239"/>
    <x v="165"/>
    <x v="6"/>
    <x v="0"/>
    <x v="4"/>
    <x v="0"/>
    <x v="0"/>
    <x v="3"/>
    <x v="3"/>
    <x v="212"/>
  </r>
  <r>
    <s v="BLG-0240"/>
    <x v="81"/>
    <x v="15"/>
    <x v="0"/>
    <x v="8"/>
    <x v="0"/>
    <x v="1"/>
    <x v="1"/>
    <x v="9"/>
    <x v="213"/>
  </r>
  <r>
    <s v="BLG-0241"/>
    <x v="166"/>
    <x v="11"/>
    <x v="0"/>
    <x v="3"/>
    <x v="0"/>
    <x v="1"/>
    <x v="2"/>
    <x v="2"/>
    <x v="214"/>
  </r>
  <r>
    <s v="BLG-0242"/>
    <x v="124"/>
    <x v="14"/>
    <x v="0"/>
    <x v="5"/>
    <x v="0"/>
    <x v="0"/>
    <x v="4"/>
    <x v="8"/>
    <x v="215"/>
  </r>
  <r>
    <s v="BLG-0243"/>
    <x v="167"/>
    <x v="1"/>
    <x v="1"/>
    <x v="9"/>
    <x v="2"/>
    <x v="1"/>
    <x v="0"/>
    <x v="9"/>
    <x v="3"/>
  </r>
  <r>
    <s v="BLG-0244"/>
    <x v="83"/>
    <x v="7"/>
    <x v="0"/>
    <x v="3"/>
    <x v="3"/>
    <x v="2"/>
    <x v="0"/>
    <x v="8"/>
    <x v="216"/>
  </r>
  <r>
    <s v="BLG-0245"/>
    <x v="134"/>
    <x v="17"/>
    <x v="0"/>
    <x v="5"/>
    <x v="0"/>
    <x v="2"/>
    <x v="1"/>
    <x v="7"/>
    <x v="217"/>
  </r>
  <r>
    <s v="BLG-0246"/>
    <x v="168"/>
    <x v="0"/>
    <x v="2"/>
    <x v="5"/>
    <x v="0"/>
    <x v="0"/>
    <x v="1"/>
    <x v="4"/>
    <x v="218"/>
  </r>
  <r>
    <s v="BLG-0247"/>
    <x v="169"/>
    <x v="5"/>
    <x v="0"/>
    <x v="0"/>
    <x v="0"/>
    <x v="1"/>
    <x v="2"/>
    <x v="3"/>
    <x v="219"/>
  </r>
  <r>
    <s v="BLG-0248"/>
    <x v="170"/>
    <x v="1"/>
    <x v="0"/>
    <x v="7"/>
    <x v="0"/>
    <x v="1"/>
    <x v="1"/>
    <x v="14"/>
    <x v="220"/>
  </r>
  <r>
    <s v="BLG-0249"/>
    <x v="86"/>
    <x v="12"/>
    <x v="0"/>
    <x v="2"/>
    <x v="0"/>
    <x v="1"/>
    <x v="1"/>
    <x v="6"/>
    <x v="221"/>
  </r>
  <r>
    <s v="BLG-0250"/>
    <x v="171"/>
    <x v="13"/>
    <x v="0"/>
    <x v="8"/>
    <x v="0"/>
    <x v="1"/>
    <x v="0"/>
    <x v="8"/>
    <x v="222"/>
  </r>
  <r>
    <s v="BLG-0251"/>
    <x v="8"/>
    <x v="15"/>
    <x v="2"/>
    <x v="5"/>
    <x v="1"/>
    <x v="0"/>
    <x v="1"/>
    <x v="16"/>
    <x v="223"/>
  </r>
  <r>
    <s v="BLG-0252"/>
    <x v="171"/>
    <x v="5"/>
    <x v="1"/>
    <x v="5"/>
    <x v="0"/>
    <x v="0"/>
    <x v="2"/>
    <x v="2"/>
    <x v="224"/>
  </r>
  <r>
    <s v="BLG-0253"/>
    <x v="57"/>
    <x v="1"/>
    <x v="0"/>
    <x v="0"/>
    <x v="0"/>
    <x v="0"/>
    <x v="0"/>
    <x v="1"/>
    <x v="225"/>
  </r>
  <r>
    <s v="BLG-0254"/>
    <x v="172"/>
    <x v="15"/>
    <x v="1"/>
    <x v="6"/>
    <x v="0"/>
    <x v="1"/>
    <x v="0"/>
    <x v="23"/>
    <x v="226"/>
  </r>
  <r>
    <s v="BLG-0255"/>
    <x v="173"/>
    <x v="5"/>
    <x v="0"/>
    <x v="5"/>
    <x v="1"/>
    <x v="0"/>
    <x v="1"/>
    <x v="14"/>
    <x v="227"/>
  </r>
  <r>
    <s v="BLG-0256"/>
    <x v="42"/>
    <x v="16"/>
    <x v="1"/>
    <x v="0"/>
    <x v="0"/>
    <x v="1"/>
    <x v="1"/>
    <x v="22"/>
    <x v="228"/>
  </r>
  <r>
    <s v="BLG-0257"/>
    <x v="174"/>
    <x v="16"/>
    <x v="0"/>
    <x v="9"/>
    <x v="0"/>
    <x v="1"/>
    <x v="1"/>
    <x v="3"/>
    <x v="229"/>
  </r>
  <r>
    <s v="BLG-0258"/>
    <x v="175"/>
    <x v="12"/>
    <x v="1"/>
    <x v="1"/>
    <x v="0"/>
    <x v="0"/>
    <x v="2"/>
    <x v="20"/>
    <x v="230"/>
  </r>
  <r>
    <s v="BLG-0259"/>
    <x v="19"/>
    <x v="9"/>
    <x v="0"/>
    <x v="7"/>
    <x v="0"/>
    <x v="1"/>
    <x v="0"/>
    <x v="3"/>
    <x v="231"/>
  </r>
  <r>
    <s v="BLG-0260"/>
    <x v="162"/>
    <x v="13"/>
    <x v="1"/>
    <x v="7"/>
    <x v="3"/>
    <x v="0"/>
    <x v="0"/>
    <x v="14"/>
    <x v="232"/>
  </r>
  <r>
    <s v="BLG-0261"/>
    <x v="176"/>
    <x v="5"/>
    <x v="0"/>
    <x v="3"/>
    <x v="1"/>
    <x v="1"/>
    <x v="1"/>
    <x v="1"/>
    <x v="233"/>
  </r>
  <r>
    <s v="BLG-0262"/>
    <x v="111"/>
    <x v="10"/>
    <x v="0"/>
    <x v="1"/>
    <x v="0"/>
    <x v="1"/>
    <x v="2"/>
    <x v="2"/>
    <x v="234"/>
  </r>
  <r>
    <s v="BLG-0263"/>
    <x v="19"/>
    <x v="12"/>
    <x v="0"/>
    <x v="2"/>
    <x v="0"/>
    <x v="1"/>
    <x v="0"/>
    <x v="1"/>
    <x v="235"/>
  </r>
  <r>
    <s v="BLG-0264"/>
    <x v="177"/>
    <x v="8"/>
    <x v="0"/>
    <x v="6"/>
    <x v="3"/>
    <x v="1"/>
    <x v="2"/>
    <x v="3"/>
    <x v="236"/>
  </r>
  <r>
    <s v="BLG-0265"/>
    <x v="133"/>
    <x v="13"/>
    <x v="0"/>
    <x v="0"/>
    <x v="0"/>
    <x v="1"/>
    <x v="1"/>
    <x v="7"/>
    <x v="237"/>
  </r>
  <r>
    <s v="BLG-0266"/>
    <x v="75"/>
    <x v="13"/>
    <x v="0"/>
    <x v="5"/>
    <x v="3"/>
    <x v="0"/>
    <x v="1"/>
    <x v="8"/>
    <x v="238"/>
  </r>
  <r>
    <s v="BLG-0267"/>
    <x v="178"/>
    <x v="8"/>
    <x v="0"/>
    <x v="8"/>
    <x v="0"/>
    <x v="1"/>
    <x v="0"/>
    <x v="14"/>
    <x v="239"/>
  </r>
  <r>
    <s v="BLG-0268"/>
    <x v="116"/>
    <x v="5"/>
    <x v="2"/>
    <x v="7"/>
    <x v="1"/>
    <x v="1"/>
    <x v="1"/>
    <x v="1"/>
    <x v="240"/>
  </r>
  <r>
    <s v="BLG-0269"/>
    <x v="179"/>
    <x v="11"/>
    <x v="0"/>
    <x v="7"/>
    <x v="1"/>
    <x v="0"/>
    <x v="0"/>
    <x v="9"/>
    <x v="241"/>
  </r>
  <r>
    <s v="BLG-0270"/>
    <x v="39"/>
    <x v="17"/>
    <x v="2"/>
    <x v="1"/>
    <x v="2"/>
    <x v="0"/>
    <x v="1"/>
    <x v="5"/>
    <x v="3"/>
  </r>
  <r>
    <s v="BLG-0271"/>
    <x v="137"/>
    <x v="7"/>
    <x v="0"/>
    <x v="9"/>
    <x v="0"/>
    <x v="1"/>
    <x v="1"/>
    <x v="3"/>
    <x v="242"/>
  </r>
  <r>
    <s v="BLG-0272"/>
    <x v="30"/>
    <x v="0"/>
    <x v="1"/>
    <x v="1"/>
    <x v="3"/>
    <x v="1"/>
    <x v="1"/>
    <x v="17"/>
    <x v="243"/>
  </r>
  <r>
    <s v="BLG-0273"/>
    <x v="161"/>
    <x v="6"/>
    <x v="0"/>
    <x v="9"/>
    <x v="0"/>
    <x v="0"/>
    <x v="1"/>
    <x v="8"/>
    <x v="244"/>
  </r>
  <r>
    <s v="BLG-0274"/>
    <x v="180"/>
    <x v="6"/>
    <x v="0"/>
    <x v="7"/>
    <x v="1"/>
    <x v="1"/>
    <x v="2"/>
    <x v="3"/>
    <x v="245"/>
  </r>
  <r>
    <s v="BLG-0275"/>
    <x v="62"/>
    <x v="14"/>
    <x v="0"/>
    <x v="1"/>
    <x v="0"/>
    <x v="0"/>
    <x v="0"/>
    <x v="9"/>
    <x v="246"/>
  </r>
  <r>
    <s v="BLG-0276"/>
    <x v="43"/>
    <x v="5"/>
    <x v="0"/>
    <x v="7"/>
    <x v="2"/>
    <x v="0"/>
    <x v="2"/>
    <x v="16"/>
    <x v="3"/>
  </r>
  <r>
    <s v="BLG-0277"/>
    <x v="90"/>
    <x v="16"/>
    <x v="0"/>
    <x v="0"/>
    <x v="0"/>
    <x v="1"/>
    <x v="1"/>
    <x v="7"/>
    <x v="247"/>
  </r>
  <r>
    <s v="BLG-0278"/>
    <x v="115"/>
    <x v="5"/>
    <x v="0"/>
    <x v="9"/>
    <x v="0"/>
    <x v="2"/>
    <x v="3"/>
    <x v="14"/>
    <x v="248"/>
  </r>
  <r>
    <s v="BLG-0279"/>
    <x v="148"/>
    <x v="4"/>
    <x v="0"/>
    <x v="0"/>
    <x v="0"/>
    <x v="1"/>
    <x v="1"/>
    <x v="8"/>
    <x v="249"/>
  </r>
  <r>
    <s v="BLG-0280"/>
    <x v="181"/>
    <x v="5"/>
    <x v="2"/>
    <x v="5"/>
    <x v="0"/>
    <x v="0"/>
    <x v="1"/>
    <x v="22"/>
    <x v="250"/>
  </r>
  <r>
    <s v="BLG-0281"/>
    <x v="97"/>
    <x v="11"/>
    <x v="0"/>
    <x v="0"/>
    <x v="0"/>
    <x v="1"/>
    <x v="1"/>
    <x v="2"/>
    <x v="251"/>
  </r>
  <r>
    <s v="BLG-0282"/>
    <x v="15"/>
    <x v="0"/>
    <x v="0"/>
    <x v="5"/>
    <x v="3"/>
    <x v="1"/>
    <x v="2"/>
    <x v="2"/>
    <x v="252"/>
  </r>
  <r>
    <s v="BLG-0283"/>
    <x v="182"/>
    <x v="0"/>
    <x v="1"/>
    <x v="3"/>
    <x v="0"/>
    <x v="0"/>
    <x v="1"/>
    <x v="4"/>
    <x v="253"/>
  </r>
  <r>
    <s v="BLG-0284"/>
    <x v="183"/>
    <x v="6"/>
    <x v="1"/>
    <x v="1"/>
    <x v="1"/>
    <x v="1"/>
    <x v="2"/>
    <x v="22"/>
    <x v="254"/>
  </r>
  <r>
    <s v="BLG-0285"/>
    <x v="43"/>
    <x v="17"/>
    <x v="0"/>
    <x v="1"/>
    <x v="0"/>
    <x v="1"/>
    <x v="1"/>
    <x v="9"/>
    <x v="255"/>
  </r>
  <r>
    <s v="BLG-0286"/>
    <x v="11"/>
    <x v="8"/>
    <x v="0"/>
    <x v="4"/>
    <x v="0"/>
    <x v="1"/>
    <x v="3"/>
    <x v="0"/>
    <x v="256"/>
  </r>
  <r>
    <s v="BLG-0287"/>
    <x v="184"/>
    <x v="16"/>
    <x v="2"/>
    <x v="6"/>
    <x v="2"/>
    <x v="2"/>
    <x v="2"/>
    <x v="7"/>
    <x v="3"/>
  </r>
  <r>
    <s v="BLG-0288"/>
    <x v="81"/>
    <x v="12"/>
    <x v="1"/>
    <x v="6"/>
    <x v="0"/>
    <x v="1"/>
    <x v="0"/>
    <x v="4"/>
    <x v="257"/>
  </r>
  <r>
    <s v="BLG-0289"/>
    <x v="185"/>
    <x v="6"/>
    <x v="0"/>
    <x v="2"/>
    <x v="1"/>
    <x v="1"/>
    <x v="2"/>
    <x v="9"/>
    <x v="258"/>
  </r>
  <r>
    <s v="BLG-0290"/>
    <x v="186"/>
    <x v="12"/>
    <x v="0"/>
    <x v="2"/>
    <x v="2"/>
    <x v="1"/>
    <x v="4"/>
    <x v="9"/>
    <x v="3"/>
  </r>
  <r>
    <s v="BLG-0291"/>
    <x v="187"/>
    <x v="5"/>
    <x v="0"/>
    <x v="9"/>
    <x v="0"/>
    <x v="1"/>
    <x v="2"/>
    <x v="9"/>
    <x v="259"/>
  </r>
  <r>
    <s v="BLG-0292"/>
    <x v="138"/>
    <x v="13"/>
    <x v="1"/>
    <x v="8"/>
    <x v="1"/>
    <x v="1"/>
    <x v="0"/>
    <x v="12"/>
    <x v="260"/>
  </r>
  <r>
    <s v="BLG-0293"/>
    <x v="188"/>
    <x v="6"/>
    <x v="0"/>
    <x v="4"/>
    <x v="0"/>
    <x v="2"/>
    <x v="3"/>
    <x v="16"/>
    <x v="261"/>
  </r>
  <r>
    <s v="BLG-0294"/>
    <x v="189"/>
    <x v="3"/>
    <x v="1"/>
    <x v="0"/>
    <x v="0"/>
    <x v="2"/>
    <x v="1"/>
    <x v="23"/>
    <x v="262"/>
  </r>
  <r>
    <s v="BLG-0295"/>
    <x v="78"/>
    <x v="17"/>
    <x v="1"/>
    <x v="6"/>
    <x v="0"/>
    <x v="1"/>
    <x v="1"/>
    <x v="5"/>
    <x v="263"/>
  </r>
  <r>
    <s v="BLG-0296"/>
    <x v="190"/>
    <x v="15"/>
    <x v="0"/>
    <x v="7"/>
    <x v="0"/>
    <x v="0"/>
    <x v="0"/>
    <x v="2"/>
    <x v="264"/>
  </r>
  <r>
    <s v="BLG-0297"/>
    <x v="174"/>
    <x v="0"/>
    <x v="0"/>
    <x v="8"/>
    <x v="0"/>
    <x v="0"/>
    <x v="2"/>
    <x v="14"/>
    <x v="265"/>
  </r>
  <r>
    <s v="BLG-0298"/>
    <x v="89"/>
    <x v="16"/>
    <x v="0"/>
    <x v="5"/>
    <x v="0"/>
    <x v="1"/>
    <x v="1"/>
    <x v="6"/>
    <x v="266"/>
  </r>
  <r>
    <s v="BLG-0299"/>
    <x v="191"/>
    <x v="17"/>
    <x v="0"/>
    <x v="9"/>
    <x v="0"/>
    <x v="0"/>
    <x v="1"/>
    <x v="3"/>
    <x v="267"/>
  </r>
  <r>
    <s v="BLG-0300"/>
    <x v="154"/>
    <x v="7"/>
    <x v="2"/>
    <x v="0"/>
    <x v="0"/>
    <x v="1"/>
    <x v="1"/>
    <x v="15"/>
    <x v="268"/>
  </r>
  <r>
    <s v="BLG-0301"/>
    <x v="192"/>
    <x v="4"/>
    <x v="0"/>
    <x v="5"/>
    <x v="0"/>
    <x v="1"/>
    <x v="0"/>
    <x v="6"/>
    <x v="269"/>
  </r>
  <r>
    <s v="BLG-0302"/>
    <x v="15"/>
    <x v="11"/>
    <x v="0"/>
    <x v="5"/>
    <x v="0"/>
    <x v="2"/>
    <x v="4"/>
    <x v="9"/>
    <x v="270"/>
  </r>
  <r>
    <s v="BLG-0303"/>
    <x v="166"/>
    <x v="17"/>
    <x v="0"/>
    <x v="3"/>
    <x v="1"/>
    <x v="2"/>
    <x v="2"/>
    <x v="8"/>
    <x v="271"/>
  </r>
  <r>
    <s v="BLG-0304"/>
    <x v="73"/>
    <x v="2"/>
    <x v="0"/>
    <x v="8"/>
    <x v="3"/>
    <x v="1"/>
    <x v="1"/>
    <x v="0"/>
    <x v="272"/>
  </r>
  <r>
    <s v="BLG-0305"/>
    <x v="1"/>
    <x v="5"/>
    <x v="0"/>
    <x v="5"/>
    <x v="0"/>
    <x v="1"/>
    <x v="1"/>
    <x v="0"/>
    <x v="273"/>
  </r>
  <r>
    <s v="BLG-0306"/>
    <x v="193"/>
    <x v="8"/>
    <x v="0"/>
    <x v="5"/>
    <x v="1"/>
    <x v="0"/>
    <x v="0"/>
    <x v="16"/>
    <x v="274"/>
  </r>
  <r>
    <s v="BLG-0307"/>
    <x v="117"/>
    <x v="1"/>
    <x v="0"/>
    <x v="8"/>
    <x v="0"/>
    <x v="0"/>
    <x v="1"/>
    <x v="14"/>
    <x v="275"/>
  </r>
  <r>
    <s v="BLG-0308"/>
    <x v="115"/>
    <x v="15"/>
    <x v="0"/>
    <x v="4"/>
    <x v="0"/>
    <x v="0"/>
    <x v="2"/>
    <x v="14"/>
    <x v="276"/>
  </r>
  <r>
    <s v="BLG-0309"/>
    <x v="194"/>
    <x v="0"/>
    <x v="1"/>
    <x v="1"/>
    <x v="1"/>
    <x v="1"/>
    <x v="1"/>
    <x v="21"/>
    <x v="277"/>
  </r>
  <r>
    <s v="BLG-0310"/>
    <x v="165"/>
    <x v="6"/>
    <x v="0"/>
    <x v="1"/>
    <x v="2"/>
    <x v="1"/>
    <x v="1"/>
    <x v="3"/>
    <x v="3"/>
  </r>
  <r>
    <s v="BLG-0311"/>
    <x v="195"/>
    <x v="0"/>
    <x v="0"/>
    <x v="5"/>
    <x v="0"/>
    <x v="0"/>
    <x v="1"/>
    <x v="2"/>
    <x v="278"/>
  </r>
  <r>
    <s v="BLG-0312"/>
    <x v="196"/>
    <x v="14"/>
    <x v="2"/>
    <x v="2"/>
    <x v="0"/>
    <x v="2"/>
    <x v="2"/>
    <x v="11"/>
    <x v="279"/>
  </r>
  <r>
    <s v="BLG-0313"/>
    <x v="141"/>
    <x v="2"/>
    <x v="1"/>
    <x v="5"/>
    <x v="0"/>
    <x v="0"/>
    <x v="1"/>
    <x v="5"/>
    <x v="280"/>
  </r>
  <r>
    <s v="BLG-0314"/>
    <x v="92"/>
    <x v="5"/>
    <x v="0"/>
    <x v="9"/>
    <x v="0"/>
    <x v="0"/>
    <x v="1"/>
    <x v="0"/>
    <x v="281"/>
  </r>
  <r>
    <s v="BLG-0315"/>
    <x v="128"/>
    <x v="10"/>
    <x v="0"/>
    <x v="6"/>
    <x v="1"/>
    <x v="1"/>
    <x v="1"/>
    <x v="2"/>
    <x v="282"/>
  </r>
  <r>
    <s v="BLG-0316"/>
    <x v="197"/>
    <x v="8"/>
    <x v="1"/>
    <x v="0"/>
    <x v="0"/>
    <x v="1"/>
    <x v="1"/>
    <x v="22"/>
    <x v="283"/>
  </r>
  <r>
    <s v="BLG-0317"/>
    <x v="31"/>
    <x v="12"/>
    <x v="0"/>
    <x v="3"/>
    <x v="2"/>
    <x v="0"/>
    <x v="1"/>
    <x v="0"/>
    <x v="3"/>
  </r>
  <r>
    <s v="BLG-0318"/>
    <x v="198"/>
    <x v="13"/>
    <x v="2"/>
    <x v="4"/>
    <x v="0"/>
    <x v="1"/>
    <x v="1"/>
    <x v="1"/>
    <x v="284"/>
  </r>
  <r>
    <s v="BLG-0319"/>
    <x v="102"/>
    <x v="6"/>
    <x v="2"/>
    <x v="1"/>
    <x v="0"/>
    <x v="1"/>
    <x v="2"/>
    <x v="16"/>
    <x v="285"/>
  </r>
  <r>
    <s v="BLG-0320"/>
    <x v="199"/>
    <x v="16"/>
    <x v="0"/>
    <x v="0"/>
    <x v="0"/>
    <x v="0"/>
    <x v="0"/>
    <x v="9"/>
    <x v="286"/>
  </r>
  <r>
    <s v="BLG-0321"/>
    <x v="200"/>
    <x v="11"/>
    <x v="0"/>
    <x v="1"/>
    <x v="1"/>
    <x v="0"/>
    <x v="1"/>
    <x v="14"/>
    <x v="287"/>
  </r>
  <r>
    <s v="BLG-0322"/>
    <x v="101"/>
    <x v="17"/>
    <x v="0"/>
    <x v="7"/>
    <x v="1"/>
    <x v="1"/>
    <x v="0"/>
    <x v="3"/>
    <x v="288"/>
  </r>
  <r>
    <s v="BLG-0323"/>
    <x v="66"/>
    <x v="1"/>
    <x v="0"/>
    <x v="2"/>
    <x v="0"/>
    <x v="0"/>
    <x v="4"/>
    <x v="7"/>
    <x v="289"/>
  </r>
  <r>
    <s v="BLG-0324"/>
    <x v="89"/>
    <x v="4"/>
    <x v="0"/>
    <x v="4"/>
    <x v="0"/>
    <x v="1"/>
    <x v="1"/>
    <x v="0"/>
    <x v="290"/>
  </r>
  <r>
    <s v="BLG-0325"/>
    <x v="201"/>
    <x v="0"/>
    <x v="0"/>
    <x v="2"/>
    <x v="3"/>
    <x v="1"/>
    <x v="2"/>
    <x v="9"/>
    <x v="291"/>
  </r>
  <r>
    <s v="BLG-0326"/>
    <x v="86"/>
    <x v="3"/>
    <x v="0"/>
    <x v="0"/>
    <x v="1"/>
    <x v="1"/>
    <x v="1"/>
    <x v="2"/>
    <x v="292"/>
  </r>
  <r>
    <s v="BLG-0327"/>
    <x v="175"/>
    <x v="12"/>
    <x v="0"/>
    <x v="4"/>
    <x v="0"/>
    <x v="2"/>
    <x v="1"/>
    <x v="7"/>
    <x v="293"/>
  </r>
  <r>
    <s v="BLG-0328"/>
    <x v="161"/>
    <x v="14"/>
    <x v="0"/>
    <x v="8"/>
    <x v="0"/>
    <x v="1"/>
    <x v="1"/>
    <x v="1"/>
    <x v="294"/>
  </r>
  <r>
    <s v="BLG-0329"/>
    <x v="202"/>
    <x v="4"/>
    <x v="0"/>
    <x v="8"/>
    <x v="0"/>
    <x v="1"/>
    <x v="1"/>
    <x v="7"/>
    <x v="295"/>
  </r>
  <r>
    <s v="BLG-0330"/>
    <x v="203"/>
    <x v="11"/>
    <x v="1"/>
    <x v="2"/>
    <x v="1"/>
    <x v="2"/>
    <x v="2"/>
    <x v="22"/>
    <x v="296"/>
  </r>
  <r>
    <s v="BLG-0331"/>
    <x v="16"/>
    <x v="7"/>
    <x v="2"/>
    <x v="5"/>
    <x v="0"/>
    <x v="1"/>
    <x v="1"/>
    <x v="1"/>
    <x v="297"/>
  </r>
  <r>
    <s v="BLG-0332"/>
    <x v="94"/>
    <x v="1"/>
    <x v="1"/>
    <x v="9"/>
    <x v="0"/>
    <x v="0"/>
    <x v="1"/>
    <x v="17"/>
    <x v="298"/>
  </r>
  <r>
    <s v="BLG-0333"/>
    <x v="204"/>
    <x v="11"/>
    <x v="0"/>
    <x v="2"/>
    <x v="2"/>
    <x v="1"/>
    <x v="4"/>
    <x v="6"/>
    <x v="3"/>
  </r>
  <r>
    <s v="BLG-0334"/>
    <x v="205"/>
    <x v="7"/>
    <x v="2"/>
    <x v="4"/>
    <x v="0"/>
    <x v="1"/>
    <x v="1"/>
    <x v="4"/>
    <x v="299"/>
  </r>
  <r>
    <s v="BLG-0335"/>
    <x v="171"/>
    <x v="16"/>
    <x v="0"/>
    <x v="1"/>
    <x v="3"/>
    <x v="0"/>
    <x v="0"/>
    <x v="16"/>
    <x v="300"/>
  </r>
  <r>
    <s v="BLG-0336"/>
    <x v="151"/>
    <x v="3"/>
    <x v="0"/>
    <x v="5"/>
    <x v="0"/>
    <x v="1"/>
    <x v="1"/>
    <x v="1"/>
    <x v="301"/>
  </r>
  <r>
    <s v="BLG-0337"/>
    <x v="138"/>
    <x v="12"/>
    <x v="1"/>
    <x v="8"/>
    <x v="2"/>
    <x v="1"/>
    <x v="1"/>
    <x v="21"/>
    <x v="3"/>
  </r>
  <r>
    <s v="BLG-0338"/>
    <x v="206"/>
    <x v="0"/>
    <x v="1"/>
    <x v="2"/>
    <x v="3"/>
    <x v="1"/>
    <x v="3"/>
    <x v="23"/>
    <x v="302"/>
  </r>
  <r>
    <s v="BLG-0339"/>
    <x v="3"/>
    <x v="4"/>
    <x v="0"/>
    <x v="4"/>
    <x v="1"/>
    <x v="1"/>
    <x v="0"/>
    <x v="14"/>
    <x v="303"/>
  </r>
  <r>
    <s v="BLG-0340"/>
    <x v="207"/>
    <x v="14"/>
    <x v="0"/>
    <x v="6"/>
    <x v="0"/>
    <x v="1"/>
    <x v="1"/>
    <x v="1"/>
    <x v="304"/>
  </r>
  <r>
    <s v="BLG-0341"/>
    <x v="171"/>
    <x v="1"/>
    <x v="0"/>
    <x v="0"/>
    <x v="1"/>
    <x v="0"/>
    <x v="0"/>
    <x v="3"/>
    <x v="305"/>
  </r>
  <r>
    <s v="BLG-0342"/>
    <x v="206"/>
    <x v="12"/>
    <x v="1"/>
    <x v="0"/>
    <x v="3"/>
    <x v="1"/>
    <x v="2"/>
    <x v="2"/>
    <x v="306"/>
  </r>
  <r>
    <s v="BLG-0343"/>
    <x v="6"/>
    <x v="12"/>
    <x v="0"/>
    <x v="0"/>
    <x v="0"/>
    <x v="1"/>
    <x v="1"/>
    <x v="3"/>
    <x v="307"/>
  </r>
  <r>
    <s v="BLG-0344"/>
    <x v="208"/>
    <x v="5"/>
    <x v="0"/>
    <x v="9"/>
    <x v="0"/>
    <x v="1"/>
    <x v="2"/>
    <x v="9"/>
    <x v="308"/>
  </r>
  <r>
    <s v="BLG-0345"/>
    <x v="63"/>
    <x v="13"/>
    <x v="1"/>
    <x v="5"/>
    <x v="1"/>
    <x v="1"/>
    <x v="1"/>
    <x v="7"/>
    <x v="309"/>
  </r>
  <r>
    <s v="BLG-0346"/>
    <x v="141"/>
    <x v="2"/>
    <x v="2"/>
    <x v="1"/>
    <x v="0"/>
    <x v="1"/>
    <x v="2"/>
    <x v="16"/>
    <x v="310"/>
  </r>
  <r>
    <s v="BLG-0347"/>
    <x v="137"/>
    <x v="15"/>
    <x v="0"/>
    <x v="3"/>
    <x v="0"/>
    <x v="1"/>
    <x v="1"/>
    <x v="9"/>
    <x v="311"/>
  </r>
  <r>
    <s v="BLG-0348"/>
    <x v="139"/>
    <x v="17"/>
    <x v="1"/>
    <x v="6"/>
    <x v="1"/>
    <x v="1"/>
    <x v="1"/>
    <x v="5"/>
    <x v="312"/>
  </r>
  <r>
    <s v="BLG-0349"/>
    <x v="209"/>
    <x v="8"/>
    <x v="1"/>
    <x v="1"/>
    <x v="0"/>
    <x v="1"/>
    <x v="1"/>
    <x v="24"/>
    <x v="313"/>
  </r>
  <r>
    <s v="BLG-0350"/>
    <x v="210"/>
    <x v="15"/>
    <x v="0"/>
    <x v="3"/>
    <x v="3"/>
    <x v="1"/>
    <x v="1"/>
    <x v="7"/>
    <x v="314"/>
  </r>
  <r>
    <s v="BLG-0351"/>
    <x v="159"/>
    <x v="2"/>
    <x v="0"/>
    <x v="5"/>
    <x v="0"/>
    <x v="0"/>
    <x v="1"/>
    <x v="2"/>
    <x v="315"/>
  </r>
  <r>
    <s v="BLG-0352"/>
    <x v="211"/>
    <x v="6"/>
    <x v="0"/>
    <x v="2"/>
    <x v="0"/>
    <x v="1"/>
    <x v="0"/>
    <x v="3"/>
    <x v="316"/>
  </r>
  <r>
    <s v="BLG-0353"/>
    <x v="212"/>
    <x v="8"/>
    <x v="0"/>
    <x v="6"/>
    <x v="0"/>
    <x v="1"/>
    <x v="1"/>
    <x v="0"/>
    <x v="317"/>
  </r>
  <r>
    <s v="BLG-0354"/>
    <x v="62"/>
    <x v="13"/>
    <x v="0"/>
    <x v="0"/>
    <x v="0"/>
    <x v="1"/>
    <x v="2"/>
    <x v="8"/>
    <x v="318"/>
  </r>
  <r>
    <s v="BLG-0355"/>
    <x v="213"/>
    <x v="16"/>
    <x v="0"/>
    <x v="6"/>
    <x v="0"/>
    <x v="2"/>
    <x v="4"/>
    <x v="6"/>
    <x v="319"/>
  </r>
  <r>
    <s v="BLG-0356"/>
    <x v="1"/>
    <x v="3"/>
    <x v="2"/>
    <x v="9"/>
    <x v="3"/>
    <x v="0"/>
    <x v="2"/>
    <x v="17"/>
    <x v="320"/>
  </r>
  <r>
    <s v="BLG-0357"/>
    <x v="25"/>
    <x v="3"/>
    <x v="0"/>
    <x v="7"/>
    <x v="0"/>
    <x v="1"/>
    <x v="1"/>
    <x v="8"/>
    <x v="321"/>
  </r>
  <r>
    <s v="BLG-0358"/>
    <x v="26"/>
    <x v="17"/>
    <x v="0"/>
    <x v="1"/>
    <x v="0"/>
    <x v="0"/>
    <x v="4"/>
    <x v="3"/>
    <x v="322"/>
  </r>
  <r>
    <s v="BLG-0359"/>
    <x v="142"/>
    <x v="0"/>
    <x v="1"/>
    <x v="2"/>
    <x v="2"/>
    <x v="0"/>
    <x v="1"/>
    <x v="13"/>
    <x v="3"/>
  </r>
  <r>
    <s v="BLG-0360"/>
    <x v="214"/>
    <x v="1"/>
    <x v="0"/>
    <x v="9"/>
    <x v="0"/>
    <x v="0"/>
    <x v="1"/>
    <x v="7"/>
    <x v="323"/>
  </r>
  <r>
    <s v="BLG-0361"/>
    <x v="215"/>
    <x v="11"/>
    <x v="0"/>
    <x v="9"/>
    <x v="0"/>
    <x v="1"/>
    <x v="1"/>
    <x v="16"/>
    <x v="324"/>
  </r>
  <r>
    <s v="BLG-0362"/>
    <x v="216"/>
    <x v="0"/>
    <x v="2"/>
    <x v="0"/>
    <x v="0"/>
    <x v="0"/>
    <x v="2"/>
    <x v="5"/>
    <x v="325"/>
  </r>
  <r>
    <s v="BLG-0363"/>
    <x v="86"/>
    <x v="3"/>
    <x v="0"/>
    <x v="1"/>
    <x v="2"/>
    <x v="0"/>
    <x v="2"/>
    <x v="9"/>
    <x v="3"/>
  </r>
  <r>
    <s v="BLG-0364"/>
    <x v="153"/>
    <x v="14"/>
    <x v="0"/>
    <x v="6"/>
    <x v="0"/>
    <x v="0"/>
    <x v="0"/>
    <x v="1"/>
    <x v="326"/>
  </r>
  <r>
    <s v="BLG-0365"/>
    <x v="147"/>
    <x v="10"/>
    <x v="1"/>
    <x v="0"/>
    <x v="0"/>
    <x v="2"/>
    <x v="0"/>
    <x v="4"/>
    <x v="327"/>
  </r>
  <r>
    <s v="BLG-0366"/>
    <x v="217"/>
    <x v="9"/>
    <x v="0"/>
    <x v="8"/>
    <x v="0"/>
    <x v="1"/>
    <x v="0"/>
    <x v="2"/>
    <x v="328"/>
  </r>
  <r>
    <s v="BLG-0367"/>
    <x v="214"/>
    <x v="8"/>
    <x v="0"/>
    <x v="1"/>
    <x v="2"/>
    <x v="0"/>
    <x v="0"/>
    <x v="16"/>
    <x v="3"/>
  </r>
  <r>
    <s v="BLG-0368"/>
    <x v="218"/>
    <x v="14"/>
    <x v="1"/>
    <x v="6"/>
    <x v="0"/>
    <x v="1"/>
    <x v="1"/>
    <x v="15"/>
    <x v="329"/>
  </r>
  <r>
    <s v="BLG-0369"/>
    <x v="133"/>
    <x v="9"/>
    <x v="0"/>
    <x v="6"/>
    <x v="1"/>
    <x v="1"/>
    <x v="3"/>
    <x v="14"/>
    <x v="330"/>
  </r>
  <r>
    <s v="BLG-0370"/>
    <x v="31"/>
    <x v="11"/>
    <x v="0"/>
    <x v="2"/>
    <x v="0"/>
    <x v="2"/>
    <x v="0"/>
    <x v="7"/>
    <x v="331"/>
  </r>
  <r>
    <s v="BLG-0371"/>
    <x v="219"/>
    <x v="6"/>
    <x v="0"/>
    <x v="9"/>
    <x v="0"/>
    <x v="0"/>
    <x v="1"/>
    <x v="3"/>
    <x v="332"/>
  </r>
  <r>
    <s v="BLG-0372"/>
    <x v="199"/>
    <x v="7"/>
    <x v="0"/>
    <x v="5"/>
    <x v="0"/>
    <x v="0"/>
    <x v="0"/>
    <x v="9"/>
    <x v="333"/>
  </r>
  <r>
    <s v="BLG-0373"/>
    <x v="0"/>
    <x v="12"/>
    <x v="1"/>
    <x v="0"/>
    <x v="1"/>
    <x v="0"/>
    <x v="1"/>
    <x v="1"/>
    <x v="334"/>
  </r>
  <r>
    <s v="BLG-0374"/>
    <x v="82"/>
    <x v="1"/>
    <x v="1"/>
    <x v="2"/>
    <x v="0"/>
    <x v="0"/>
    <x v="0"/>
    <x v="9"/>
    <x v="335"/>
  </r>
  <r>
    <s v="BLG-0375"/>
    <x v="39"/>
    <x v="2"/>
    <x v="2"/>
    <x v="9"/>
    <x v="1"/>
    <x v="0"/>
    <x v="4"/>
    <x v="0"/>
    <x v="336"/>
  </r>
  <r>
    <s v="BLG-0376"/>
    <x v="187"/>
    <x v="13"/>
    <x v="2"/>
    <x v="3"/>
    <x v="0"/>
    <x v="0"/>
    <x v="2"/>
    <x v="2"/>
    <x v="337"/>
  </r>
  <r>
    <s v="BLG-0377"/>
    <x v="59"/>
    <x v="8"/>
    <x v="1"/>
    <x v="1"/>
    <x v="0"/>
    <x v="1"/>
    <x v="1"/>
    <x v="22"/>
    <x v="338"/>
  </r>
  <r>
    <s v="BLG-0378"/>
    <x v="68"/>
    <x v="17"/>
    <x v="1"/>
    <x v="7"/>
    <x v="0"/>
    <x v="1"/>
    <x v="2"/>
    <x v="13"/>
    <x v="339"/>
  </r>
  <r>
    <s v="BLG-0379"/>
    <x v="220"/>
    <x v="3"/>
    <x v="0"/>
    <x v="1"/>
    <x v="0"/>
    <x v="0"/>
    <x v="0"/>
    <x v="7"/>
    <x v="340"/>
  </r>
  <r>
    <s v="BLG-0380"/>
    <x v="191"/>
    <x v="16"/>
    <x v="2"/>
    <x v="7"/>
    <x v="3"/>
    <x v="0"/>
    <x v="4"/>
    <x v="7"/>
    <x v="341"/>
  </r>
  <r>
    <s v="BLG-0381"/>
    <x v="186"/>
    <x v="12"/>
    <x v="1"/>
    <x v="1"/>
    <x v="0"/>
    <x v="1"/>
    <x v="1"/>
    <x v="17"/>
    <x v="342"/>
  </r>
  <r>
    <s v="BLG-0382"/>
    <x v="221"/>
    <x v="13"/>
    <x v="1"/>
    <x v="6"/>
    <x v="0"/>
    <x v="1"/>
    <x v="1"/>
    <x v="19"/>
    <x v="343"/>
  </r>
  <r>
    <s v="BLG-0383"/>
    <x v="154"/>
    <x v="15"/>
    <x v="0"/>
    <x v="1"/>
    <x v="0"/>
    <x v="1"/>
    <x v="1"/>
    <x v="0"/>
    <x v="344"/>
  </r>
  <r>
    <s v="BLG-0384"/>
    <x v="89"/>
    <x v="15"/>
    <x v="1"/>
    <x v="0"/>
    <x v="0"/>
    <x v="1"/>
    <x v="1"/>
    <x v="23"/>
    <x v="345"/>
  </r>
  <r>
    <s v="BLG-0385"/>
    <x v="222"/>
    <x v="14"/>
    <x v="0"/>
    <x v="1"/>
    <x v="3"/>
    <x v="1"/>
    <x v="0"/>
    <x v="0"/>
    <x v="346"/>
  </r>
  <r>
    <s v="BLG-0386"/>
    <x v="152"/>
    <x v="12"/>
    <x v="2"/>
    <x v="5"/>
    <x v="1"/>
    <x v="1"/>
    <x v="3"/>
    <x v="18"/>
    <x v="347"/>
  </r>
  <r>
    <s v="BLG-0387"/>
    <x v="223"/>
    <x v="10"/>
    <x v="1"/>
    <x v="5"/>
    <x v="0"/>
    <x v="1"/>
    <x v="0"/>
    <x v="7"/>
    <x v="348"/>
  </r>
  <r>
    <s v="BLG-0388"/>
    <x v="0"/>
    <x v="2"/>
    <x v="1"/>
    <x v="3"/>
    <x v="0"/>
    <x v="1"/>
    <x v="1"/>
    <x v="9"/>
    <x v="349"/>
  </r>
  <r>
    <s v="BLG-0389"/>
    <x v="224"/>
    <x v="17"/>
    <x v="0"/>
    <x v="1"/>
    <x v="0"/>
    <x v="0"/>
    <x v="1"/>
    <x v="8"/>
    <x v="350"/>
  </r>
  <r>
    <s v="BLG-0390"/>
    <x v="159"/>
    <x v="0"/>
    <x v="1"/>
    <x v="0"/>
    <x v="0"/>
    <x v="1"/>
    <x v="2"/>
    <x v="0"/>
    <x v="351"/>
  </r>
  <r>
    <s v="BLG-0391"/>
    <x v="225"/>
    <x v="0"/>
    <x v="0"/>
    <x v="6"/>
    <x v="0"/>
    <x v="0"/>
    <x v="2"/>
    <x v="0"/>
    <x v="352"/>
  </r>
  <r>
    <s v="BLG-0392"/>
    <x v="226"/>
    <x v="17"/>
    <x v="0"/>
    <x v="1"/>
    <x v="0"/>
    <x v="1"/>
    <x v="3"/>
    <x v="9"/>
    <x v="353"/>
  </r>
  <r>
    <s v="BLG-0393"/>
    <x v="227"/>
    <x v="3"/>
    <x v="2"/>
    <x v="2"/>
    <x v="0"/>
    <x v="1"/>
    <x v="1"/>
    <x v="16"/>
    <x v="354"/>
  </r>
  <r>
    <s v="BLG-0394"/>
    <x v="88"/>
    <x v="11"/>
    <x v="0"/>
    <x v="4"/>
    <x v="0"/>
    <x v="1"/>
    <x v="2"/>
    <x v="8"/>
    <x v="355"/>
  </r>
  <r>
    <s v="BLG-0395"/>
    <x v="89"/>
    <x v="12"/>
    <x v="0"/>
    <x v="1"/>
    <x v="2"/>
    <x v="0"/>
    <x v="1"/>
    <x v="14"/>
    <x v="3"/>
  </r>
  <r>
    <s v="BLG-0396"/>
    <x v="228"/>
    <x v="12"/>
    <x v="0"/>
    <x v="9"/>
    <x v="0"/>
    <x v="0"/>
    <x v="1"/>
    <x v="9"/>
    <x v="356"/>
  </r>
  <r>
    <s v="BLG-0397"/>
    <x v="229"/>
    <x v="5"/>
    <x v="2"/>
    <x v="0"/>
    <x v="0"/>
    <x v="0"/>
    <x v="2"/>
    <x v="2"/>
    <x v="357"/>
  </r>
  <r>
    <s v="BLG-0398"/>
    <x v="22"/>
    <x v="14"/>
    <x v="0"/>
    <x v="8"/>
    <x v="0"/>
    <x v="1"/>
    <x v="1"/>
    <x v="1"/>
    <x v="358"/>
  </r>
  <r>
    <s v="BLG-0399"/>
    <x v="226"/>
    <x v="15"/>
    <x v="1"/>
    <x v="8"/>
    <x v="1"/>
    <x v="0"/>
    <x v="0"/>
    <x v="13"/>
    <x v="359"/>
  </r>
  <r>
    <s v="BLG-0400"/>
    <x v="230"/>
    <x v="6"/>
    <x v="0"/>
    <x v="0"/>
    <x v="0"/>
    <x v="0"/>
    <x v="0"/>
    <x v="1"/>
    <x v="360"/>
  </r>
  <r>
    <s v="BLG-0401"/>
    <x v="207"/>
    <x v="12"/>
    <x v="0"/>
    <x v="3"/>
    <x v="0"/>
    <x v="1"/>
    <x v="2"/>
    <x v="2"/>
    <x v="361"/>
  </r>
  <r>
    <s v="BLG-0402"/>
    <x v="89"/>
    <x v="5"/>
    <x v="0"/>
    <x v="2"/>
    <x v="2"/>
    <x v="0"/>
    <x v="1"/>
    <x v="14"/>
    <x v="3"/>
  </r>
  <r>
    <s v="BLG-0403"/>
    <x v="231"/>
    <x v="13"/>
    <x v="1"/>
    <x v="1"/>
    <x v="0"/>
    <x v="1"/>
    <x v="4"/>
    <x v="7"/>
    <x v="362"/>
  </r>
  <r>
    <s v="BLG-0404"/>
    <x v="61"/>
    <x v="5"/>
    <x v="0"/>
    <x v="0"/>
    <x v="0"/>
    <x v="0"/>
    <x v="1"/>
    <x v="2"/>
    <x v="363"/>
  </r>
  <r>
    <s v="BLG-0405"/>
    <x v="140"/>
    <x v="13"/>
    <x v="1"/>
    <x v="1"/>
    <x v="0"/>
    <x v="1"/>
    <x v="0"/>
    <x v="2"/>
    <x v="364"/>
  </r>
  <r>
    <s v="BLG-0406"/>
    <x v="225"/>
    <x v="4"/>
    <x v="1"/>
    <x v="5"/>
    <x v="0"/>
    <x v="1"/>
    <x v="1"/>
    <x v="7"/>
    <x v="365"/>
  </r>
  <r>
    <s v="BLG-0407"/>
    <x v="99"/>
    <x v="12"/>
    <x v="0"/>
    <x v="5"/>
    <x v="0"/>
    <x v="0"/>
    <x v="0"/>
    <x v="3"/>
    <x v="366"/>
  </r>
  <r>
    <s v="BLG-0408"/>
    <x v="192"/>
    <x v="11"/>
    <x v="0"/>
    <x v="7"/>
    <x v="0"/>
    <x v="0"/>
    <x v="0"/>
    <x v="3"/>
    <x v="367"/>
  </r>
  <r>
    <s v="BLG-0409"/>
    <x v="232"/>
    <x v="16"/>
    <x v="1"/>
    <x v="6"/>
    <x v="0"/>
    <x v="1"/>
    <x v="1"/>
    <x v="0"/>
    <x v="368"/>
  </r>
  <r>
    <s v="BLG-0410"/>
    <x v="209"/>
    <x v="10"/>
    <x v="0"/>
    <x v="6"/>
    <x v="1"/>
    <x v="1"/>
    <x v="1"/>
    <x v="1"/>
    <x v="369"/>
  </r>
  <r>
    <s v="BLG-0411"/>
    <x v="164"/>
    <x v="6"/>
    <x v="1"/>
    <x v="4"/>
    <x v="0"/>
    <x v="1"/>
    <x v="0"/>
    <x v="7"/>
    <x v="370"/>
  </r>
  <r>
    <s v="BLG-0412"/>
    <x v="24"/>
    <x v="13"/>
    <x v="2"/>
    <x v="6"/>
    <x v="2"/>
    <x v="0"/>
    <x v="1"/>
    <x v="7"/>
    <x v="3"/>
  </r>
  <r>
    <s v="BLG-0413"/>
    <x v="233"/>
    <x v="12"/>
    <x v="0"/>
    <x v="7"/>
    <x v="3"/>
    <x v="2"/>
    <x v="2"/>
    <x v="16"/>
    <x v="371"/>
  </r>
  <r>
    <s v="BLG-0414"/>
    <x v="234"/>
    <x v="6"/>
    <x v="1"/>
    <x v="1"/>
    <x v="0"/>
    <x v="0"/>
    <x v="0"/>
    <x v="20"/>
    <x v="372"/>
  </r>
  <r>
    <s v="BLG-0415"/>
    <x v="29"/>
    <x v="10"/>
    <x v="0"/>
    <x v="3"/>
    <x v="0"/>
    <x v="1"/>
    <x v="0"/>
    <x v="14"/>
    <x v="373"/>
  </r>
  <r>
    <s v="BLG-0416"/>
    <x v="235"/>
    <x v="12"/>
    <x v="1"/>
    <x v="6"/>
    <x v="0"/>
    <x v="0"/>
    <x v="3"/>
    <x v="19"/>
    <x v="374"/>
  </r>
  <r>
    <s v="BLG-0417"/>
    <x v="187"/>
    <x v="4"/>
    <x v="1"/>
    <x v="9"/>
    <x v="0"/>
    <x v="1"/>
    <x v="1"/>
    <x v="7"/>
    <x v="375"/>
  </r>
  <r>
    <s v="BLG-0418"/>
    <x v="150"/>
    <x v="2"/>
    <x v="1"/>
    <x v="1"/>
    <x v="0"/>
    <x v="1"/>
    <x v="2"/>
    <x v="18"/>
    <x v="376"/>
  </r>
  <r>
    <s v="BLG-0419"/>
    <x v="236"/>
    <x v="1"/>
    <x v="0"/>
    <x v="9"/>
    <x v="0"/>
    <x v="0"/>
    <x v="0"/>
    <x v="6"/>
    <x v="377"/>
  </r>
  <r>
    <s v="BLG-0420"/>
    <x v="91"/>
    <x v="5"/>
    <x v="0"/>
    <x v="6"/>
    <x v="1"/>
    <x v="1"/>
    <x v="0"/>
    <x v="7"/>
    <x v="378"/>
  </r>
  <r>
    <s v="BLG-0421"/>
    <x v="101"/>
    <x v="8"/>
    <x v="0"/>
    <x v="6"/>
    <x v="0"/>
    <x v="0"/>
    <x v="2"/>
    <x v="2"/>
    <x v="379"/>
  </r>
  <r>
    <s v="BLG-0422"/>
    <x v="42"/>
    <x v="7"/>
    <x v="1"/>
    <x v="5"/>
    <x v="0"/>
    <x v="0"/>
    <x v="4"/>
    <x v="18"/>
    <x v="380"/>
  </r>
  <r>
    <s v="BLG-0423"/>
    <x v="167"/>
    <x v="14"/>
    <x v="2"/>
    <x v="6"/>
    <x v="0"/>
    <x v="1"/>
    <x v="1"/>
    <x v="17"/>
    <x v="381"/>
  </r>
  <r>
    <s v="BLG-0424"/>
    <x v="237"/>
    <x v="15"/>
    <x v="0"/>
    <x v="6"/>
    <x v="0"/>
    <x v="1"/>
    <x v="1"/>
    <x v="8"/>
    <x v="382"/>
  </r>
  <r>
    <s v="BLG-0425"/>
    <x v="67"/>
    <x v="4"/>
    <x v="0"/>
    <x v="5"/>
    <x v="0"/>
    <x v="0"/>
    <x v="1"/>
    <x v="6"/>
    <x v="383"/>
  </r>
  <r>
    <s v="BLG-0426"/>
    <x v="238"/>
    <x v="3"/>
    <x v="1"/>
    <x v="1"/>
    <x v="0"/>
    <x v="1"/>
    <x v="1"/>
    <x v="15"/>
    <x v="384"/>
  </r>
  <r>
    <s v="BLG-0427"/>
    <x v="215"/>
    <x v="7"/>
    <x v="0"/>
    <x v="4"/>
    <x v="0"/>
    <x v="1"/>
    <x v="0"/>
    <x v="8"/>
    <x v="385"/>
  </r>
  <r>
    <s v="BLG-0428"/>
    <x v="82"/>
    <x v="11"/>
    <x v="2"/>
    <x v="3"/>
    <x v="0"/>
    <x v="2"/>
    <x v="3"/>
    <x v="18"/>
    <x v="386"/>
  </r>
  <r>
    <s v="BLG-0429"/>
    <x v="239"/>
    <x v="9"/>
    <x v="1"/>
    <x v="7"/>
    <x v="1"/>
    <x v="1"/>
    <x v="1"/>
    <x v="8"/>
    <x v="387"/>
  </r>
  <r>
    <s v="BLG-0430"/>
    <x v="240"/>
    <x v="8"/>
    <x v="0"/>
    <x v="3"/>
    <x v="0"/>
    <x v="0"/>
    <x v="1"/>
    <x v="7"/>
    <x v="388"/>
  </r>
  <r>
    <s v="BLG-0431"/>
    <x v="241"/>
    <x v="8"/>
    <x v="1"/>
    <x v="8"/>
    <x v="1"/>
    <x v="1"/>
    <x v="2"/>
    <x v="2"/>
    <x v="389"/>
  </r>
  <r>
    <s v="BLG-0432"/>
    <x v="14"/>
    <x v="15"/>
    <x v="0"/>
    <x v="7"/>
    <x v="0"/>
    <x v="1"/>
    <x v="2"/>
    <x v="0"/>
    <x v="390"/>
  </r>
  <r>
    <s v="BLG-0433"/>
    <x v="59"/>
    <x v="17"/>
    <x v="0"/>
    <x v="3"/>
    <x v="0"/>
    <x v="1"/>
    <x v="0"/>
    <x v="0"/>
    <x v="391"/>
  </r>
  <r>
    <s v="BLG-0434"/>
    <x v="225"/>
    <x v="3"/>
    <x v="1"/>
    <x v="5"/>
    <x v="1"/>
    <x v="1"/>
    <x v="3"/>
    <x v="0"/>
    <x v="392"/>
  </r>
  <r>
    <s v="BLG-0435"/>
    <x v="136"/>
    <x v="3"/>
    <x v="0"/>
    <x v="8"/>
    <x v="0"/>
    <x v="0"/>
    <x v="1"/>
    <x v="14"/>
    <x v="393"/>
  </r>
  <r>
    <s v="BLG-0436"/>
    <x v="131"/>
    <x v="5"/>
    <x v="1"/>
    <x v="2"/>
    <x v="0"/>
    <x v="0"/>
    <x v="1"/>
    <x v="22"/>
    <x v="394"/>
  </r>
  <r>
    <s v="BLG-0437"/>
    <x v="242"/>
    <x v="8"/>
    <x v="1"/>
    <x v="1"/>
    <x v="0"/>
    <x v="1"/>
    <x v="1"/>
    <x v="20"/>
    <x v="395"/>
  </r>
  <r>
    <s v="BLG-0438"/>
    <x v="222"/>
    <x v="10"/>
    <x v="1"/>
    <x v="8"/>
    <x v="0"/>
    <x v="1"/>
    <x v="0"/>
    <x v="10"/>
    <x v="396"/>
  </r>
  <r>
    <s v="BLG-0439"/>
    <x v="243"/>
    <x v="11"/>
    <x v="0"/>
    <x v="0"/>
    <x v="0"/>
    <x v="0"/>
    <x v="0"/>
    <x v="8"/>
    <x v="397"/>
  </r>
  <r>
    <s v="BLG-0440"/>
    <x v="61"/>
    <x v="6"/>
    <x v="1"/>
    <x v="1"/>
    <x v="0"/>
    <x v="1"/>
    <x v="1"/>
    <x v="21"/>
    <x v="398"/>
  </r>
  <r>
    <s v="BLG-0441"/>
    <x v="215"/>
    <x v="7"/>
    <x v="0"/>
    <x v="3"/>
    <x v="0"/>
    <x v="0"/>
    <x v="3"/>
    <x v="9"/>
    <x v="399"/>
  </r>
  <r>
    <s v="BLG-0442"/>
    <x v="70"/>
    <x v="4"/>
    <x v="1"/>
    <x v="1"/>
    <x v="0"/>
    <x v="0"/>
    <x v="3"/>
    <x v="17"/>
    <x v="400"/>
  </r>
  <r>
    <s v="BLG-0443"/>
    <x v="47"/>
    <x v="11"/>
    <x v="1"/>
    <x v="3"/>
    <x v="0"/>
    <x v="1"/>
    <x v="0"/>
    <x v="11"/>
    <x v="401"/>
  </r>
  <r>
    <s v="BLG-0444"/>
    <x v="53"/>
    <x v="6"/>
    <x v="0"/>
    <x v="0"/>
    <x v="0"/>
    <x v="1"/>
    <x v="0"/>
    <x v="16"/>
    <x v="402"/>
  </r>
  <r>
    <s v="BLG-0445"/>
    <x v="201"/>
    <x v="8"/>
    <x v="0"/>
    <x v="6"/>
    <x v="0"/>
    <x v="0"/>
    <x v="2"/>
    <x v="0"/>
    <x v="403"/>
  </r>
  <r>
    <s v="BLG-0446"/>
    <x v="220"/>
    <x v="5"/>
    <x v="1"/>
    <x v="1"/>
    <x v="0"/>
    <x v="1"/>
    <x v="2"/>
    <x v="20"/>
    <x v="404"/>
  </r>
  <r>
    <s v="BLG-0447"/>
    <x v="196"/>
    <x v="7"/>
    <x v="0"/>
    <x v="8"/>
    <x v="0"/>
    <x v="0"/>
    <x v="1"/>
    <x v="0"/>
    <x v="405"/>
  </r>
  <r>
    <s v="BLG-0448"/>
    <x v="80"/>
    <x v="7"/>
    <x v="0"/>
    <x v="3"/>
    <x v="2"/>
    <x v="0"/>
    <x v="0"/>
    <x v="14"/>
    <x v="3"/>
  </r>
  <r>
    <s v="BLG-0449"/>
    <x v="201"/>
    <x v="6"/>
    <x v="0"/>
    <x v="5"/>
    <x v="0"/>
    <x v="0"/>
    <x v="1"/>
    <x v="2"/>
    <x v="406"/>
  </r>
  <r>
    <s v="BLG-0450"/>
    <x v="244"/>
    <x v="11"/>
    <x v="1"/>
    <x v="0"/>
    <x v="0"/>
    <x v="1"/>
    <x v="0"/>
    <x v="10"/>
    <x v="407"/>
  </r>
  <r>
    <s v="BLG-0451"/>
    <x v="178"/>
    <x v="5"/>
    <x v="0"/>
    <x v="9"/>
    <x v="0"/>
    <x v="2"/>
    <x v="1"/>
    <x v="0"/>
    <x v="408"/>
  </r>
  <r>
    <s v="BLG-0452"/>
    <x v="189"/>
    <x v="2"/>
    <x v="0"/>
    <x v="5"/>
    <x v="0"/>
    <x v="1"/>
    <x v="0"/>
    <x v="3"/>
    <x v="409"/>
  </r>
  <r>
    <s v="BLG-0453"/>
    <x v="185"/>
    <x v="11"/>
    <x v="0"/>
    <x v="7"/>
    <x v="2"/>
    <x v="1"/>
    <x v="0"/>
    <x v="1"/>
    <x v="3"/>
  </r>
  <r>
    <s v="BLG-0454"/>
    <x v="211"/>
    <x v="14"/>
    <x v="0"/>
    <x v="5"/>
    <x v="0"/>
    <x v="1"/>
    <x v="1"/>
    <x v="1"/>
    <x v="410"/>
  </r>
  <r>
    <s v="BLG-0455"/>
    <x v="140"/>
    <x v="11"/>
    <x v="0"/>
    <x v="7"/>
    <x v="0"/>
    <x v="0"/>
    <x v="0"/>
    <x v="1"/>
    <x v="411"/>
  </r>
  <r>
    <s v="BLG-0456"/>
    <x v="84"/>
    <x v="11"/>
    <x v="0"/>
    <x v="5"/>
    <x v="0"/>
    <x v="0"/>
    <x v="1"/>
    <x v="1"/>
    <x v="412"/>
  </r>
  <r>
    <s v="BLG-0457"/>
    <x v="240"/>
    <x v="2"/>
    <x v="2"/>
    <x v="5"/>
    <x v="0"/>
    <x v="2"/>
    <x v="0"/>
    <x v="15"/>
    <x v="413"/>
  </r>
  <r>
    <s v="BLG-0458"/>
    <x v="233"/>
    <x v="13"/>
    <x v="1"/>
    <x v="1"/>
    <x v="2"/>
    <x v="0"/>
    <x v="2"/>
    <x v="17"/>
    <x v="3"/>
  </r>
  <r>
    <s v="BLG-0459"/>
    <x v="245"/>
    <x v="2"/>
    <x v="0"/>
    <x v="3"/>
    <x v="3"/>
    <x v="0"/>
    <x v="1"/>
    <x v="7"/>
    <x v="414"/>
  </r>
  <r>
    <s v="BLG-0460"/>
    <x v="35"/>
    <x v="15"/>
    <x v="0"/>
    <x v="2"/>
    <x v="0"/>
    <x v="1"/>
    <x v="1"/>
    <x v="3"/>
    <x v="415"/>
  </r>
  <r>
    <s v="BLG-0461"/>
    <x v="246"/>
    <x v="1"/>
    <x v="1"/>
    <x v="5"/>
    <x v="1"/>
    <x v="1"/>
    <x v="0"/>
    <x v="24"/>
    <x v="416"/>
  </r>
  <r>
    <s v="BLG-0462"/>
    <x v="247"/>
    <x v="17"/>
    <x v="0"/>
    <x v="7"/>
    <x v="0"/>
    <x v="1"/>
    <x v="1"/>
    <x v="2"/>
    <x v="417"/>
  </r>
  <r>
    <s v="BLG-0463"/>
    <x v="248"/>
    <x v="0"/>
    <x v="0"/>
    <x v="0"/>
    <x v="1"/>
    <x v="2"/>
    <x v="1"/>
    <x v="1"/>
    <x v="418"/>
  </r>
  <r>
    <s v="BLG-0464"/>
    <x v="133"/>
    <x v="2"/>
    <x v="0"/>
    <x v="6"/>
    <x v="1"/>
    <x v="1"/>
    <x v="1"/>
    <x v="8"/>
    <x v="419"/>
  </r>
  <r>
    <s v="BLG-0465"/>
    <x v="241"/>
    <x v="12"/>
    <x v="0"/>
    <x v="1"/>
    <x v="0"/>
    <x v="0"/>
    <x v="1"/>
    <x v="0"/>
    <x v="420"/>
  </r>
  <r>
    <s v="BLG-0466"/>
    <x v="249"/>
    <x v="2"/>
    <x v="2"/>
    <x v="7"/>
    <x v="0"/>
    <x v="1"/>
    <x v="0"/>
    <x v="2"/>
    <x v="421"/>
  </r>
  <r>
    <s v="BLG-0467"/>
    <x v="68"/>
    <x v="7"/>
    <x v="1"/>
    <x v="7"/>
    <x v="0"/>
    <x v="0"/>
    <x v="1"/>
    <x v="5"/>
    <x v="422"/>
  </r>
  <r>
    <s v="BLG-0468"/>
    <x v="250"/>
    <x v="0"/>
    <x v="0"/>
    <x v="9"/>
    <x v="0"/>
    <x v="1"/>
    <x v="0"/>
    <x v="8"/>
    <x v="423"/>
  </r>
  <r>
    <s v="BLG-0469"/>
    <x v="58"/>
    <x v="15"/>
    <x v="1"/>
    <x v="2"/>
    <x v="0"/>
    <x v="0"/>
    <x v="1"/>
    <x v="4"/>
    <x v="424"/>
  </r>
  <r>
    <s v="BLG-0470"/>
    <x v="251"/>
    <x v="1"/>
    <x v="1"/>
    <x v="8"/>
    <x v="0"/>
    <x v="0"/>
    <x v="1"/>
    <x v="24"/>
    <x v="425"/>
  </r>
  <r>
    <s v="BLG-0471"/>
    <x v="96"/>
    <x v="13"/>
    <x v="0"/>
    <x v="1"/>
    <x v="0"/>
    <x v="0"/>
    <x v="1"/>
    <x v="8"/>
    <x v="426"/>
  </r>
  <r>
    <s v="BLG-0472"/>
    <x v="245"/>
    <x v="9"/>
    <x v="1"/>
    <x v="5"/>
    <x v="0"/>
    <x v="1"/>
    <x v="0"/>
    <x v="17"/>
    <x v="427"/>
  </r>
  <r>
    <s v="BLG-0473"/>
    <x v="252"/>
    <x v="5"/>
    <x v="0"/>
    <x v="7"/>
    <x v="0"/>
    <x v="1"/>
    <x v="2"/>
    <x v="3"/>
    <x v="428"/>
  </r>
  <r>
    <s v="BLG-0474"/>
    <x v="253"/>
    <x v="7"/>
    <x v="0"/>
    <x v="2"/>
    <x v="0"/>
    <x v="2"/>
    <x v="1"/>
    <x v="7"/>
    <x v="429"/>
  </r>
  <r>
    <s v="BLG-0475"/>
    <x v="254"/>
    <x v="14"/>
    <x v="0"/>
    <x v="1"/>
    <x v="0"/>
    <x v="1"/>
    <x v="3"/>
    <x v="0"/>
    <x v="430"/>
  </r>
  <r>
    <s v="BLG-0476"/>
    <x v="158"/>
    <x v="2"/>
    <x v="1"/>
    <x v="4"/>
    <x v="0"/>
    <x v="0"/>
    <x v="2"/>
    <x v="12"/>
    <x v="431"/>
  </r>
  <r>
    <s v="BLG-0477"/>
    <x v="255"/>
    <x v="13"/>
    <x v="0"/>
    <x v="1"/>
    <x v="0"/>
    <x v="2"/>
    <x v="0"/>
    <x v="6"/>
    <x v="432"/>
  </r>
  <r>
    <s v="BLG-0478"/>
    <x v="256"/>
    <x v="7"/>
    <x v="0"/>
    <x v="1"/>
    <x v="2"/>
    <x v="1"/>
    <x v="1"/>
    <x v="9"/>
    <x v="3"/>
  </r>
  <r>
    <s v="BLG-0479"/>
    <x v="168"/>
    <x v="13"/>
    <x v="0"/>
    <x v="1"/>
    <x v="0"/>
    <x v="1"/>
    <x v="2"/>
    <x v="6"/>
    <x v="433"/>
  </r>
  <r>
    <s v="BLG-0480"/>
    <x v="150"/>
    <x v="11"/>
    <x v="1"/>
    <x v="8"/>
    <x v="0"/>
    <x v="1"/>
    <x v="1"/>
    <x v="24"/>
    <x v="434"/>
  </r>
  <r>
    <s v="BLG-0481"/>
    <x v="257"/>
    <x v="0"/>
    <x v="2"/>
    <x v="3"/>
    <x v="0"/>
    <x v="0"/>
    <x v="2"/>
    <x v="6"/>
    <x v="435"/>
  </r>
  <r>
    <s v="BLG-0482"/>
    <x v="8"/>
    <x v="13"/>
    <x v="1"/>
    <x v="8"/>
    <x v="0"/>
    <x v="1"/>
    <x v="1"/>
    <x v="10"/>
    <x v="436"/>
  </r>
  <r>
    <s v="BLG-0483"/>
    <x v="60"/>
    <x v="16"/>
    <x v="0"/>
    <x v="2"/>
    <x v="0"/>
    <x v="1"/>
    <x v="0"/>
    <x v="7"/>
    <x v="437"/>
  </r>
  <r>
    <s v="BLG-0484"/>
    <x v="96"/>
    <x v="6"/>
    <x v="2"/>
    <x v="6"/>
    <x v="0"/>
    <x v="0"/>
    <x v="1"/>
    <x v="0"/>
    <x v="438"/>
  </r>
  <r>
    <s v="BLG-0485"/>
    <x v="110"/>
    <x v="2"/>
    <x v="0"/>
    <x v="0"/>
    <x v="0"/>
    <x v="2"/>
    <x v="1"/>
    <x v="14"/>
    <x v="439"/>
  </r>
  <r>
    <s v="BLG-0486"/>
    <x v="258"/>
    <x v="17"/>
    <x v="1"/>
    <x v="7"/>
    <x v="2"/>
    <x v="1"/>
    <x v="1"/>
    <x v="1"/>
    <x v="3"/>
  </r>
  <r>
    <s v="BLG-0487"/>
    <x v="63"/>
    <x v="2"/>
    <x v="1"/>
    <x v="5"/>
    <x v="2"/>
    <x v="1"/>
    <x v="2"/>
    <x v="1"/>
    <x v="3"/>
  </r>
  <r>
    <s v="BLG-0488"/>
    <x v="31"/>
    <x v="14"/>
    <x v="0"/>
    <x v="1"/>
    <x v="2"/>
    <x v="0"/>
    <x v="0"/>
    <x v="9"/>
    <x v="3"/>
  </r>
  <r>
    <s v="BLG-0489"/>
    <x v="162"/>
    <x v="2"/>
    <x v="0"/>
    <x v="5"/>
    <x v="0"/>
    <x v="0"/>
    <x v="1"/>
    <x v="16"/>
    <x v="440"/>
  </r>
  <r>
    <s v="BLG-0490"/>
    <x v="143"/>
    <x v="0"/>
    <x v="0"/>
    <x v="7"/>
    <x v="0"/>
    <x v="1"/>
    <x v="3"/>
    <x v="16"/>
    <x v="441"/>
  </r>
  <r>
    <s v="BLG-0491"/>
    <x v="103"/>
    <x v="10"/>
    <x v="0"/>
    <x v="3"/>
    <x v="0"/>
    <x v="2"/>
    <x v="1"/>
    <x v="9"/>
    <x v="442"/>
  </r>
  <r>
    <s v="BLG-0492"/>
    <x v="186"/>
    <x v="6"/>
    <x v="1"/>
    <x v="7"/>
    <x v="0"/>
    <x v="0"/>
    <x v="1"/>
    <x v="17"/>
    <x v="443"/>
  </r>
  <r>
    <s v="BLG-0493"/>
    <x v="54"/>
    <x v="5"/>
    <x v="1"/>
    <x v="1"/>
    <x v="0"/>
    <x v="1"/>
    <x v="1"/>
    <x v="18"/>
    <x v="444"/>
  </r>
  <r>
    <s v="BLG-0494"/>
    <x v="259"/>
    <x v="5"/>
    <x v="0"/>
    <x v="9"/>
    <x v="2"/>
    <x v="1"/>
    <x v="0"/>
    <x v="2"/>
    <x v="3"/>
  </r>
  <r>
    <s v="BLG-0495"/>
    <x v="243"/>
    <x v="15"/>
    <x v="0"/>
    <x v="0"/>
    <x v="0"/>
    <x v="0"/>
    <x v="2"/>
    <x v="6"/>
    <x v="445"/>
  </r>
  <r>
    <s v="BLG-0496"/>
    <x v="174"/>
    <x v="0"/>
    <x v="0"/>
    <x v="8"/>
    <x v="0"/>
    <x v="1"/>
    <x v="1"/>
    <x v="3"/>
    <x v="446"/>
  </r>
  <r>
    <s v="BLG-0497"/>
    <x v="225"/>
    <x v="16"/>
    <x v="0"/>
    <x v="8"/>
    <x v="0"/>
    <x v="1"/>
    <x v="2"/>
    <x v="2"/>
    <x v="447"/>
  </r>
  <r>
    <s v="BLG-0498"/>
    <x v="223"/>
    <x v="9"/>
    <x v="1"/>
    <x v="1"/>
    <x v="0"/>
    <x v="0"/>
    <x v="1"/>
    <x v="13"/>
    <x v="448"/>
  </r>
  <r>
    <s v="BLG-0499"/>
    <x v="93"/>
    <x v="2"/>
    <x v="0"/>
    <x v="1"/>
    <x v="3"/>
    <x v="1"/>
    <x v="0"/>
    <x v="2"/>
    <x v="449"/>
  </r>
  <r>
    <s v="BLG-0500"/>
    <x v="58"/>
    <x v="17"/>
    <x v="0"/>
    <x v="3"/>
    <x v="0"/>
    <x v="1"/>
    <x v="0"/>
    <x v="3"/>
    <x v="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34AFCB-EBC7-4F3B-9925-0D7B85FDDD5E}"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2:B83" firstHeaderRow="1" firstDataRow="1" firstDataCol="0" rowPageCount="1" colPageCount="1"/>
  <pivotFields count="10">
    <pivotField showAll="0"/>
    <pivotField numFmtId="164" showAll="0"/>
    <pivotField showAll="0"/>
    <pivotField showAll="0"/>
    <pivotField showAll="0"/>
    <pivotField showAll="0"/>
    <pivotField showAll="0"/>
    <pivotField showAll="0"/>
    <pivotField axis="axisPage" dataField="1" multipleItemSelectionAllowed="1" showAll="0">
      <items count="26">
        <item h="1" x="8"/>
        <item h="1" x="3"/>
        <item h="1" x="14"/>
        <item h="1" x="6"/>
        <item h="1" x="16"/>
        <item h="1" x="9"/>
        <item h="1" x="7"/>
        <item h="1" x="2"/>
        <item h="1" x="0"/>
        <item x="1"/>
        <item x="17"/>
        <item x="15"/>
        <item x="5"/>
        <item x="4"/>
        <item x="18"/>
        <item x="11"/>
        <item x="22"/>
        <item x="23"/>
        <item x="19"/>
        <item x="12"/>
        <item x="13"/>
        <item x="10"/>
        <item x="20"/>
        <item x="21"/>
        <item x="24"/>
        <item t="default"/>
      </items>
    </pivotField>
    <pivotField numFmtId="4" showAll="0"/>
  </pivotFields>
  <rowItems count="1">
    <i/>
  </rowItems>
  <colItems count="1">
    <i/>
  </colItems>
  <pageFields count="1">
    <pageField fld="8" hier="-1"/>
  </pageFields>
  <dataFields count="1">
    <dataField name="Count of Quantity" fld="8" subtotal="count" baseField="0" baseItem="0"/>
  </dataFields>
  <formats count="3">
    <format dxfId="51">
      <pivotArea outline="0" collapsedLevelsAreSubtotals="1" fieldPosition="0"/>
    </format>
    <format dxfId="50">
      <pivotArea outline="0" collapsedLevelsAreSubtotals="1" fieldPosition="0"/>
    </format>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A381BD-70A1-4CCA-BD1C-35C01C4E3C24}" name="PivotTable1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40:C42" firstHeaderRow="1" firstDataRow="2" firstDataCol="1" rowPageCount="1" colPageCount="1"/>
  <pivotFields count="10">
    <pivotField showAll="0"/>
    <pivotField numFmtId="164" showAll="0"/>
    <pivotField axis="axisPage" showAll="0">
      <items count="19">
        <item x="16"/>
        <item x="8"/>
        <item x="9"/>
        <item x="14"/>
        <item x="7"/>
        <item x="5"/>
        <item x="2"/>
        <item x="0"/>
        <item x="11"/>
        <item x="6"/>
        <item x="13"/>
        <item x="4"/>
        <item x="12"/>
        <item x="1"/>
        <item x="17"/>
        <item x="15"/>
        <item x="10"/>
        <item x="3"/>
        <item t="default"/>
      </items>
    </pivotField>
    <pivotField showAll="0"/>
    <pivotField showAll="0"/>
    <pivotField axis="axisCol" dataField="1" showAll="0">
      <items count="5">
        <item h="1" x="2"/>
        <item h="1" x="0"/>
        <item h="1" x="1"/>
        <item x="3"/>
        <item t="default"/>
      </items>
    </pivotField>
    <pivotField showAll="0"/>
    <pivotField showAll="0"/>
    <pivotField showAll="0"/>
    <pivotField numFmtId="4" showAll="0"/>
  </pivotFields>
  <rowItems count="1">
    <i/>
  </rowItems>
  <colFields count="1">
    <field x="5"/>
  </colFields>
  <colItems count="1">
    <i>
      <x v="3"/>
    </i>
  </colItems>
  <pageFields count="1">
    <pageField fld="2" item="15" hier="-1"/>
  </pageFields>
  <dataFields count="1">
    <dataField name="Count of Order_Status" fld="5" subtotal="count" baseField="0" baseItem="0"/>
  </dataFields>
  <formats count="3">
    <format dxfId="54">
      <pivotArea outline="0" collapsedLevelsAreSubtotals="1" fieldPosition="0"/>
    </format>
    <format dxfId="53">
      <pivotArea outline="0" collapsedLevelsAreSubtotals="1" fieldPosition="0"/>
    </format>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597DAF-5A31-46E6-80A9-C072E5B9FA5C}"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9:E131" firstHeaderRow="1" firstDataRow="2" firstDataCol="1" rowPageCount="1" colPageCount="1"/>
  <pivotFields count="10">
    <pivotField showAll="0"/>
    <pivotField numFmtId="164" showAll="0"/>
    <pivotField axis="axisCol" showAll="0">
      <items count="19">
        <item x="16"/>
        <item h="1" x="8"/>
        <item h="1" x="9"/>
        <item x="14"/>
        <item h="1" x="7"/>
        <item h="1" x="5"/>
        <item h="1" x="2"/>
        <item h="1" x="0"/>
        <item h="1" x="11"/>
        <item h="1" x="6"/>
        <item h="1" x="13"/>
        <item h="1" x="4"/>
        <item h="1" x="12"/>
        <item h="1" x="1"/>
        <item h="1" x="17"/>
        <item h="1" x="15"/>
        <item h="1" x="10"/>
        <item h="1" x="3"/>
        <item t="default"/>
      </items>
    </pivotField>
    <pivotField showAll="0"/>
    <pivotField axis="axisPage" showAll="0">
      <items count="11">
        <item x="9"/>
        <item x="2"/>
        <item x="7"/>
        <item x="1"/>
        <item x="3"/>
        <item x="4"/>
        <item x="8"/>
        <item x="0"/>
        <item x="5"/>
        <item x="6"/>
        <item t="default"/>
      </items>
    </pivotField>
    <pivotField showAll="0"/>
    <pivotField showAll="0"/>
    <pivotField showAll="0"/>
    <pivotField showAll="0"/>
    <pivotField dataField="1" numFmtId="4" showAll="0"/>
  </pivotFields>
  <rowItems count="1">
    <i/>
  </rowItems>
  <colFields count="1">
    <field x="2"/>
  </colFields>
  <colItems count="3">
    <i>
      <x/>
    </i>
    <i>
      <x v="3"/>
    </i>
    <i t="grand">
      <x/>
    </i>
  </colItems>
  <pageFields count="1">
    <pageField fld="4" item="6" hier="-1"/>
  </pageFields>
  <dataFields count="1">
    <dataField name="Sum of Order_Amount" fld="9" baseField="0" baseItem="0" numFmtId="4"/>
  </dataFields>
  <formats count="3">
    <format dxfId="57">
      <pivotArea grandCol="1" outline="0" collapsedLevelsAreSubtotals="1" fieldPosition="0"/>
    </format>
    <format dxfId="56">
      <pivotArea field="4" dataOnly="0" grandCol="1" outline="0" axis="axisPage" fieldPosition="0">
        <references count="1">
          <reference field="4" count="1" selected="0">
            <x v="6"/>
          </reference>
        </references>
      </pivotArea>
    </format>
    <format dxfId="55">
      <pivotArea field="4" dataOnly="0" grandCol="1" outline="0" axis="axisPage" fieldPosition="0">
        <references count="1">
          <reference field="4"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A45D9E-973B-46A0-8AF6-B6AAEECC2893}" name="PivotTable1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47:C49" firstHeaderRow="1" firstDataRow="2" firstDataCol="1" rowPageCount="1" colPageCount="1"/>
  <pivotFields count="10">
    <pivotField showAll="0"/>
    <pivotField numFmtId="164" showAll="0"/>
    <pivotField showAll="0"/>
    <pivotField axis="axisPage" dataField="1" showAll="0">
      <items count="4">
        <item x="2"/>
        <item x="0"/>
        <item x="1"/>
        <item t="default"/>
      </items>
    </pivotField>
    <pivotField showAll="0"/>
    <pivotField showAll="0"/>
    <pivotField showAll="0"/>
    <pivotField axis="axisCol" showAll="0">
      <items count="6">
        <item x="2"/>
        <item h="1" x="0"/>
        <item h="1" x="3"/>
        <item h="1" x="1"/>
        <item h="1" x="4"/>
        <item t="default"/>
      </items>
    </pivotField>
    <pivotField showAll="0"/>
    <pivotField numFmtId="4" showAll="0"/>
  </pivotFields>
  <rowItems count="1">
    <i/>
  </rowItems>
  <colFields count="1">
    <field x="7"/>
  </colFields>
  <colItems count="1">
    <i>
      <x/>
    </i>
  </colItems>
  <pageFields count="1">
    <pageField fld="3" item="0" hier="-1"/>
  </pageFields>
  <dataFields count="1">
    <dataField name="Count of Customer_Segment" fld="3" subtotal="count" baseField="0" baseItem="0"/>
  </dataFields>
  <formats count="3">
    <format dxfId="60">
      <pivotArea outline="0" collapsedLevelsAreSubtotals="1" fieldPosition="0"/>
    </format>
    <format dxfId="59">
      <pivotArea outline="0" collapsedLevelsAreSubtotals="1" fieldPosition="0"/>
    </format>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DEC36D-2610-48ED-8AAD-815E134EADB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3:BL105" firstHeaderRow="1" firstDataRow="2" firstDataCol="1"/>
  <pivotFields count="10">
    <pivotField showAll="0"/>
    <pivotField axis="axisCol" numFmtId="164" showAll="0">
      <items count="261">
        <item x="247"/>
        <item x="176"/>
        <item x="31"/>
        <item x="242"/>
        <item x="227"/>
        <item x="73"/>
        <item x="50"/>
        <item x="84"/>
        <item x="239"/>
        <item x="255"/>
        <item x="97"/>
        <item x="18"/>
        <item x="79"/>
        <item x="151"/>
        <item x="244"/>
        <item x="129"/>
        <item x="116"/>
        <item x="92"/>
        <item x="208"/>
        <item x="218"/>
        <item x="105"/>
        <item x="20"/>
        <item x="163"/>
        <item x="22"/>
        <item x="145"/>
        <item x="126"/>
        <item x="132"/>
        <item x="25"/>
        <item x="28"/>
        <item x="27"/>
        <item x="167"/>
        <item x="251"/>
        <item x="69"/>
        <item x="114"/>
        <item x="183"/>
        <item x="175"/>
        <item x="184"/>
        <item x="210"/>
        <item x="63"/>
        <item x="174"/>
        <item x="257"/>
        <item x="35"/>
        <item x="123"/>
        <item x="15"/>
        <item x="12"/>
        <item x="224"/>
        <item x="140"/>
        <item x="17"/>
        <item x="64"/>
        <item x="138"/>
        <item x="223"/>
        <item x="152"/>
        <item x="131"/>
        <item x="115"/>
        <item x="201"/>
        <item x="206"/>
        <item x="160"/>
        <item x="81"/>
        <item x="119"/>
        <item x="196"/>
        <item x="191"/>
        <item x="14"/>
        <item x="193"/>
        <item x="188"/>
        <item x="221"/>
        <item x="250"/>
        <item x="135"/>
        <item x="240"/>
        <item x="228"/>
        <item x="96"/>
        <item x="34"/>
        <item x="168"/>
        <item x="177"/>
        <item x="243"/>
        <item x="139"/>
        <item x="147"/>
        <item x="181"/>
        <item x="197"/>
        <item x="180"/>
        <item x="150"/>
        <item x="156"/>
        <item x="241"/>
        <item x="258"/>
        <item x="100"/>
        <item x="60"/>
        <item x="207"/>
        <item x="5"/>
        <item x="78"/>
        <item x="155"/>
        <item x="117"/>
        <item x="82"/>
        <item x="19"/>
        <item x="202"/>
        <item x="47"/>
        <item x="71"/>
        <item x="237"/>
        <item x="88"/>
        <item x="59"/>
        <item x="254"/>
        <item x="13"/>
        <item x="37"/>
        <item x="194"/>
        <item x="200"/>
        <item x="189"/>
        <item x="252"/>
        <item x="94"/>
        <item x="85"/>
        <item x="72"/>
        <item x="107"/>
        <item x="74"/>
        <item x="234"/>
        <item x="39"/>
        <item x="162"/>
        <item x="136"/>
        <item x="66"/>
        <item x="222"/>
        <item x="68"/>
        <item x="101"/>
        <item x="8"/>
        <item x="141"/>
        <item x="111"/>
        <item x="172"/>
        <item x="70"/>
        <item x="215"/>
        <item x="113"/>
        <item x="48"/>
        <item x="3"/>
        <item x="30"/>
        <item x="212"/>
        <item x="57"/>
        <item x="219"/>
        <item x="103"/>
        <item x="124"/>
        <item x="33"/>
        <item x="226"/>
        <item x="178"/>
        <item x="110"/>
        <item x="249"/>
        <item x="128"/>
        <item x="102"/>
        <item x="169"/>
        <item x="185"/>
        <item x="4"/>
        <item x="7"/>
        <item x="118"/>
        <item x="154"/>
        <item x="205"/>
        <item x="209"/>
        <item x="157"/>
        <item x="80"/>
        <item x="10"/>
        <item x="229"/>
        <item x="40"/>
        <item x="49"/>
        <item x="133"/>
        <item x="230"/>
        <item x="256"/>
        <item x="87"/>
        <item x="198"/>
        <item x="54"/>
        <item x="1"/>
        <item x="182"/>
        <item x="161"/>
        <item x="32"/>
        <item x="112"/>
        <item x="211"/>
        <item x="41"/>
        <item x="190"/>
        <item x="77"/>
        <item x="2"/>
        <item x="164"/>
        <item x="99"/>
        <item x="83"/>
        <item x="53"/>
        <item x="217"/>
        <item x="55"/>
        <item x="52"/>
        <item x="231"/>
        <item x="121"/>
        <item x="214"/>
        <item x="65"/>
        <item x="137"/>
        <item x="16"/>
        <item x="186"/>
        <item x="148"/>
        <item x="216"/>
        <item x="232"/>
        <item x="165"/>
        <item x="120"/>
        <item x="76"/>
        <item x="36"/>
        <item x="245"/>
        <item x="153"/>
        <item x="213"/>
        <item x="238"/>
        <item x="26"/>
        <item x="203"/>
        <item x="104"/>
        <item x="146"/>
        <item x="187"/>
        <item x="62"/>
        <item x="158"/>
        <item x="93"/>
        <item x="236"/>
        <item x="127"/>
        <item x="125"/>
        <item x="122"/>
        <item x="61"/>
        <item x="134"/>
        <item x="29"/>
        <item x="23"/>
        <item x="45"/>
        <item x="253"/>
        <item x="91"/>
        <item x="142"/>
        <item x="171"/>
        <item x="166"/>
        <item x="109"/>
        <item x="179"/>
        <item x="38"/>
        <item x="220"/>
        <item x="144"/>
        <item x="24"/>
        <item x="149"/>
        <item x="248"/>
        <item x="11"/>
        <item x="75"/>
        <item x="51"/>
        <item x="259"/>
        <item x="233"/>
        <item x="98"/>
        <item x="43"/>
        <item x="46"/>
        <item x="246"/>
        <item x="225"/>
        <item x="67"/>
        <item x="56"/>
        <item x="143"/>
        <item x="42"/>
        <item x="58"/>
        <item x="235"/>
        <item x="0"/>
        <item x="95"/>
        <item x="9"/>
        <item x="86"/>
        <item x="170"/>
        <item x="21"/>
        <item x="44"/>
        <item x="204"/>
        <item x="192"/>
        <item x="159"/>
        <item x="199"/>
        <item x="106"/>
        <item x="108"/>
        <item x="6"/>
        <item x="90"/>
        <item x="195"/>
        <item x="89"/>
        <item x="130"/>
        <item x="173"/>
        <item t="default"/>
      </items>
    </pivotField>
    <pivotField showAll="0"/>
    <pivotField showAll="0"/>
    <pivotField showAll="0"/>
    <pivotField showAll="0"/>
    <pivotField showAll="0"/>
    <pivotField showAll="0"/>
    <pivotField showAll="0"/>
    <pivotField dataField="1" numFmtId="4" showAll="0"/>
  </pivotFields>
  <rowItems count="1">
    <i/>
  </rowItems>
  <colFields count="1">
    <field x="1"/>
  </colFields>
  <colItems count="62">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t="grand">
      <x/>
    </i>
  </colItems>
  <dataFields count="1">
    <dataField name="Sum of Order_Amount" fld="9" baseField="0" baseItem="0" numFmtId="4"/>
  </dataFields>
  <formats count="3">
    <format dxfId="63">
      <pivotArea dataOnly="0" grandCol="1" outline="0" axis="axisCol" fieldPosition="0"/>
    </format>
    <format dxfId="62">
      <pivotArea dataOnly="0" grandCol="1" outline="0" axis="axisCol" fieldPosition="0"/>
    </format>
    <format dxfId="61">
      <pivotArea dataOnly="0" grandCol="1" outline="0" axis="axisCol" fieldPosition="0"/>
    </format>
  </formats>
  <pivotTableStyleInfo name="PivotStyleLight16" showRowHeaders="1" showColHeaders="1" showRowStripes="0" showColStripes="0" showLastColumn="1"/>
  <filters count="1">
    <filter fld="1" type="dateBetween" evalOrder="-1" id="2">
      <autoFilter ref="A1">
        <filterColumn colId="0">
          <customFilters and="1">
            <customFilter operator="greaterThanOrEqual" val="45931"/>
            <customFilter operator="lessThanOrEqual" val="46022"/>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952815-FAB0-4C86-A20D-80FDA299B377}"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2:B23" firstHeaderRow="1" firstDataRow="1" firstDataCol="0" rowPageCount="1" colPageCount="1"/>
  <pivotFields count="10">
    <pivotField showAll="0"/>
    <pivotField numFmtId="164" showAll="0"/>
    <pivotField showAll="0"/>
    <pivotField showAll="0"/>
    <pivotField showAll="0"/>
    <pivotField showAll="0"/>
    <pivotField showAll="0"/>
    <pivotField axis="axisPage" showAll="0">
      <items count="6">
        <item x="2"/>
        <item x="0"/>
        <item x="3"/>
        <item x="1"/>
        <item x="4"/>
        <item t="default"/>
      </items>
    </pivotField>
    <pivotField showAll="0"/>
    <pivotField dataField="1" numFmtId="4" showAll="0"/>
  </pivotFields>
  <rowItems count="1">
    <i/>
  </rowItems>
  <colItems count="1">
    <i/>
  </colItems>
  <pageFields count="1">
    <pageField fld="7" item="3" hier="-1"/>
  </pageFields>
  <dataFields count="1">
    <dataField name="Sum of Order_Amount" fld="9" baseField="0" baseItem="0" numFmtId="4"/>
  </dataFields>
  <formats count="3">
    <format dxfId="66">
      <pivotArea outline="0" collapsedLevelsAreSubtotals="1" fieldPosition="0"/>
    </format>
    <format dxfId="65">
      <pivotArea outline="0" collapsedLevelsAreSubtotals="1" fieldPosition="0"/>
    </format>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C6750B-9AD1-41FB-97C9-6281E031889A}" name="PivotTable1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61:C63" firstHeaderRow="1" firstDataRow="2" firstDataCol="1" rowPageCount="1" colPageCount="1"/>
  <pivotFields count="10">
    <pivotField showAll="0"/>
    <pivotField numFmtId="164" showAll="0"/>
    <pivotField showAll="0"/>
    <pivotField showAll="0"/>
    <pivotField axis="axisPage" showAll="0">
      <items count="11">
        <item x="9"/>
        <item x="2"/>
        <item x="7"/>
        <item x="1"/>
        <item x="3"/>
        <item x="4"/>
        <item x="8"/>
        <item x="0"/>
        <item x="5"/>
        <item x="6"/>
        <item t="default"/>
      </items>
    </pivotField>
    <pivotField axis="axisCol" showAll="0">
      <items count="5">
        <item h="1" x="2"/>
        <item x="0"/>
        <item h="1" x="1"/>
        <item h="1" x="3"/>
        <item t="default"/>
      </items>
    </pivotField>
    <pivotField showAll="0"/>
    <pivotField showAll="0"/>
    <pivotField showAll="0"/>
    <pivotField dataField="1" numFmtId="4" showAll="0"/>
  </pivotFields>
  <rowItems count="1">
    <i/>
  </rowItems>
  <colFields count="1">
    <field x="5"/>
  </colFields>
  <colItems count="1">
    <i>
      <x v="1"/>
    </i>
  </colItems>
  <pageFields count="1">
    <pageField fld="4" item="2" hier="-1"/>
  </pageFields>
  <dataFields count="1">
    <dataField name="Sum of Order_Amount" fld="9" baseField="0" baseItem="0" numFmtId="4"/>
  </dataFields>
  <formats count="3">
    <format dxfId="69">
      <pivotArea outline="0" collapsedLevelsAreSubtotals="1" fieldPosition="0"/>
    </format>
    <format dxfId="68">
      <pivotArea outline="0" collapsedLevelsAreSubtotals="1" fieldPosition="0"/>
    </format>
    <format dxfId="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5BE9CF-3AF0-4BF2-8180-75E46E1C482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4:B35" firstHeaderRow="1" firstDataRow="1" firstDataCol="0" rowPageCount="1" colPageCount="1"/>
  <pivotFields count="10">
    <pivotField showAll="0"/>
    <pivotField numFmtId="164" showAll="0"/>
    <pivotField showAll="0"/>
    <pivotField axis="axisPage" showAll="0">
      <items count="4">
        <item x="2"/>
        <item x="0"/>
        <item x="1"/>
        <item t="default"/>
      </items>
    </pivotField>
    <pivotField showAll="0"/>
    <pivotField showAll="0"/>
    <pivotField showAll="0"/>
    <pivotField showAll="0"/>
    <pivotField dataField="1" showAll="0"/>
    <pivotField numFmtId="4" showAll="0"/>
  </pivotFields>
  <rowItems count="1">
    <i/>
  </rowItems>
  <colItems count="1">
    <i/>
  </colItems>
  <pageFields count="1">
    <pageField fld="3" item="2" hier="-1"/>
  </pageFields>
  <dataFields count="1">
    <dataField name="Average of Quantity" fld="8" subtotal="average" baseField="0" baseItem="0"/>
  </dataFields>
  <formats count="3">
    <format dxfId="72">
      <pivotArea outline="0" collapsedLevelsAreSubtotals="1" fieldPosition="0"/>
    </format>
    <format dxfId="71">
      <pivotArea outline="0" collapsedLevelsAreSubtotals="1" fieldPosition="0"/>
    </format>
    <format dxfId="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C46A4B-9163-41FE-AABD-CCD12C257D54}"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B11" firstHeaderRow="1" firstDataRow="1" firstDataCol="0" rowPageCount="1" colPageCount="1"/>
  <pivotFields count="10">
    <pivotField showAll="0"/>
    <pivotField numFmtId="164" showAll="0"/>
    <pivotField showAll="0"/>
    <pivotField showAll="0"/>
    <pivotField showAll="0"/>
    <pivotField axis="axisPage" showAll="0">
      <items count="5">
        <item x="2"/>
        <item x="0"/>
        <item x="1"/>
        <item x="3"/>
        <item t="default"/>
      </items>
    </pivotField>
    <pivotField showAll="0"/>
    <pivotField showAll="0"/>
    <pivotField showAll="0"/>
    <pivotField dataField="1" numFmtId="4" showAll="0"/>
  </pivotFields>
  <rowItems count="1">
    <i/>
  </rowItems>
  <colItems count="1">
    <i/>
  </colItems>
  <pageFields count="1">
    <pageField fld="5" item="0" hier="-1"/>
  </pageFields>
  <dataFields count="1">
    <dataField name="Count of Order_Amount" fld="9" subtotal="count" baseField="0" baseItem="0"/>
  </dataFields>
  <formats count="3">
    <format dxfId="75">
      <pivotArea outline="0" collapsedLevelsAreSubtotals="1" fieldPosition="0"/>
    </format>
    <format dxfId="74">
      <pivotArea outline="0" collapsedLevelsAreSubtotals="1" fieldPosition="0"/>
    </format>
    <format dxfId="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14EA9A-EE91-4261-BE93-C581C0ED9363}"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2:E124" firstHeaderRow="1" firstDataRow="2" firstDataCol="1"/>
  <pivotFields count="10">
    <pivotField showAll="0"/>
    <pivotField numFmtId="164" showAll="0"/>
    <pivotField axis="axisCol" dataField="1" showAll="0">
      <items count="19">
        <item h="1" x="16"/>
        <item h="1" x="8"/>
        <item h="1" x="9"/>
        <item h="1" x="14"/>
        <item h="1" x="7"/>
        <item h="1" x="5"/>
        <item x="2"/>
        <item x="0"/>
        <item h="1" x="11"/>
        <item h="1" x="6"/>
        <item h="1" x="13"/>
        <item h="1" x="4"/>
        <item h="1" x="12"/>
        <item h="1" x="1"/>
        <item h="1" x="17"/>
        <item h="1" x="15"/>
        <item h="1" x="10"/>
        <item h="1" x="3"/>
        <item t="default"/>
      </items>
    </pivotField>
    <pivotField showAll="0"/>
    <pivotField showAll="0"/>
    <pivotField showAll="0"/>
    <pivotField showAll="0"/>
    <pivotField showAll="0"/>
    <pivotField showAll="0"/>
    <pivotField numFmtId="4" showAll="0"/>
  </pivotFields>
  <rowItems count="1">
    <i/>
  </rowItems>
  <colFields count="1">
    <field x="2"/>
  </colFields>
  <colItems count="3">
    <i>
      <x v="6"/>
    </i>
    <i>
      <x v="7"/>
    </i>
    <i t="grand">
      <x/>
    </i>
  </colItems>
  <dataFields count="1">
    <dataField name="Count of Locality" fld="2" subtotal="count" baseField="0" baseItem="0"/>
  </dataFields>
  <formats count="6">
    <format dxfId="81">
      <pivotArea grandCol="1" outline="0" collapsedLevelsAreSubtotals="1" fieldPosition="0"/>
    </format>
    <format dxfId="80">
      <pivotArea dataOnly="0" labelOnly="1" grandCol="1" outline="0" fieldPosition="0"/>
    </format>
    <format dxfId="79">
      <pivotArea grandCol="1" outline="0" collapsedLevelsAreSubtotals="1" fieldPosition="0"/>
    </format>
    <format dxfId="78">
      <pivotArea dataOnly="0" labelOnly="1" grandCol="1" outline="0" fieldPosition="0"/>
    </format>
    <format dxfId="77">
      <pivotArea grandCol="1" outline="0" collapsedLevelsAreSubtotals="1" fieldPosition="0"/>
    </format>
    <format dxfId="7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739D6E-F354-4066-A84E-DBE2105BD91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8:B29" firstHeaderRow="1" firstDataRow="1" firstDataCol="0" rowPageCount="1" colPageCount="1"/>
  <pivotFields count="10">
    <pivotField showAll="0"/>
    <pivotField numFmtId="164" showAll="0"/>
    <pivotField showAll="0"/>
    <pivotField showAll="0"/>
    <pivotField showAll="0"/>
    <pivotField showAll="0"/>
    <pivotField axis="axisPage" showAll="0">
      <items count="4">
        <item x="1"/>
        <item x="0"/>
        <item x="2"/>
        <item t="default"/>
      </items>
    </pivotField>
    <pivotField showAll="0"/>
    <pivotField showAll="0"/>
    <pivotField dataField="1" numFmtId="4" showAll="0"/>
  </pivotFields>
  <rowItems count="1">
    <i/>
  </rowItems>
  <colItems count="1">
    <i/>
  </colItems>
  <pageFields count="1">
    <pageField fld="6" item="1" hier="-1"/>
  </pageFields>
  <dataFields count="1">
    <dataField name="Average of Order_Amount" fld="9" subtotal="average" baseField="0" baseItem="0" numFmtId="4"/>
  </dataFields>
  <formats count="3">
    <format dxfId="84">
      <pivotArea outline="0" collapsedLevelsAreSubtotals="1" fieldPosition="0"/>
    </format>
    <format dxfId="83">
      <pivotArea outline="0" collapsedLevelsAreSubtotals="1" fieldPosition="0"/>
    </format>
    <format dxfId="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08AC6B3-12AD-4B99-9103-1DB8126EC224}"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6:Z98" firstHeaderRow="1" firstDataRow="2" firstDataCol="1"/>
  <pivotFields count="10">
    <pivotField showAll="0"/>
    <pivotField axis="axisCol" dataField="1" numFmtId="164" showAll="0">
      <items count="261">
        <item x="247"/>
        <item x="176"/>
        <item x="31"/>
        <item x="242"/>
        <item x="227"/>
        <item x="73"/>
        <item x="50"/>
        <item x="84"/>
        <item x="239"/>
        <item x="255"/>
        <item x="97"/>
        <item x="18"/>
        <item x="79"/>
        <item x="151"/>
        <item x="244"/>
        <item x="129"/>
        <item x="116"/>
        <item x="92"/>
        <item x="208"/>
        <item x="218"/>
        <item x="105"/>
        <item x="20"/>
        <item x="163"/>
        <item x="22"/>
        <item x="145"/>
        <item x="126"/>
        <item x="132"/>
        <item x="25"/>
        <item x="28"/>
        <item x="27"/>
        <item x="167"/>
        <item x="251"/>
        <item x="69"/>
        <item x="114"/>
        <item x="183"/>
        <item x="175"/>
        <item x="184"/>
        <item x="210"/>
        <item x="63"/>
        <item x="174"/>
        <item x="257"/>
        <item x="35"/>
        <item x="123"/>
        <item x="15"/>
        <item x="12"/>
        <item x="224"/>
        <item x="140"/>
        <item x="17"/>
        <item x="64"/>
        <item x="138"/>
        <item x="223"/>
        <item x="152"/>
        <item x="131"/>
        <item x="115"/>
        <item x="201"/>
        <item x="206"/>
        <item x="160"/>
        <item x="81"/>
        <item x="119"/>
        <item x="196"/>
        <item x="191"/>
        <item x="14"/>
        <item x="193"/>
        <item x="188"/>
        <item x="221"/>
        <item x="250"/>
        <item x="135"/>
        <item x="240"/>
        <item x="228"/>
        <item x="96"/>
        <item x="34"/>
        <item x="168"/>
        <item x="177"/>
        <item x="243"/>
        <item x="139"/>
        <item x="147"/>
        <item x="181"/>
        <item x="197"/>
        <item x="180"/>
        <item x="150"/>
        <item x="156"/>
        <item x="241"/>
        <item x="258"/>
        <item x="100"/>
        <item x="60"/>
        <item x="207"/>
        <item x="5"/>
        <item x="78"/>
        <item x="155"/>
        <item x="117"/>
        <item x="82"/>
        <item x="19"/>
        <item x="202"/>
        <item x="47"/>
        <item x="71"/>
        <item x="237"/>
        <item x="88"/>
        <item x="59"/>
        <item x="254"/>
        <item x="13"/>
        <item x="37"/>
        <item x="194"/>
        <item x="200"/>
        <item x="189"/>
        <item x="252"/>
        <item x="94"/>
        <item x="85"/>
        <item x="72"/>
        <item x="107"/>
        <item x="74"/>
        <item x="234"/>
        <item x="39"/>
        <item x="162"/>
        <item x="136"/>
        <item x="66"/>
        <item x="222"/>
        <item x="68"/>
        <item x="101"/>
        <item x="8"/>
        <item x="141"/>
        <item x="111"/>
        <item x="172"/>
        <item x="70"/>
        <item x="215"/>
        <item x="113"/>
        <item x="48"/>
        <item x="3"/>
        <item x="30"/>
        <item x="212"/>
        <item x="57"/>
        <item x="219"/>
        <item x="103"/>
        <item x="124"/>
        <item x="33"/>
        <item x="226"/>
        <item x="178"/>
        <item x="110"/>
        <item x="249"/>
        <item x="128"/>
        <item x="102"/>
        <item x="169"/>
        <item x="185"/>
        <item x="4"/>
        <item x="7"/>
        <item x="118"/>
        <item x="154"/>
        <item x="205"/>
        <item x="209"/>
        <item x="157"/>
        <item x="80"/>
        <item x="10"/>
        <item x="229"/>
        <item x="40"/>
        <item x="49"/>
        <item x="133"/>
        <item x="230"/>
        <item x="256"/>
        <item x="87"/>
        <item x="198"/>
        <item x="54"/>
        <item x="1"/>
        <item x="182"/>
        <item x="161"/>
        <item x="32"/>
        <item x="112"/>
        <item x="211"/>
        <item x="41"/>
        <item x="190"/>
        <item x="77"/>
        <item x="2"/>
        <item x="164"/>
        <item x="99"/>
        <item x="83"/>
        <item x="53"/>
        <item x="217"/>
        <item x="55"/>
        <item x="52"/>
        <item x="231"/>
        <item x="121"/>
        <item x="214"/>
        <item x="65"/>
        <item x="137"/>
        <item x="16"/>
        <item x="186"/>
        <item x="148"/>
        <item x="216"/>
        <item x="232"/>
        <item x="165"/>
        <item x="120"/>
        <item x="76"/>
        <item x="36"/>
        <item x="245"/>
        <item x="153"/>
        <item x="213"/>
        <item x="238"/>
        <item x="26"/>
        <item x="203"/>
        <item x="104"/>
        <item x="146"/>
        <item x="187"/>
        <item x="62"/>
        <item x="158"/>
        <item x="93"/>
        <item x="236"/>
        <item x="127"/>
        <item x="125"/>
        <item x="122"/>
        <item x="61"/>
        <item x="134"/>
        <item x="29"/>
        <item x="23"/>
        <item x="45"/>
        <item x="253"/>
        <item x="91"/>
        <item x="142"/>
        <item x="171"/>
        <item x="166"/>
        <item x="109"/>
        <item x="179"/>
        <item x="38"/>
        <item x="220"/>
        <item x="144"/>
        <item x="24"/>
        <item x="149"/>
        <item x="248"/>
        <item x="11"/>
        <item x="75"/>
        <item x="51"/>
        <item x="259"/>
        <item x="233"/>
        <item x="98"/>
        <item x="43"/>
        <item x="46"/>
        <item x="246"/>
        <item x="225"/>
        <item x="67"/>
        <item x="56"/>
        <item x="143"/>
        <item x="42"/>
        <item x="58"/>
        <item x="235"/>
        <item x="0"/>
        <item x="95"/>
        <item x="9"/>
        <item x="86"/>
        <item x="170"/>
        <item x="21"/>
        <item x="44"/>
        <item x="204"/>
        <item x="192"/>
        <item x="159"/>
        <item x="199"/>
        <item x="106"/>
        <item x="108"/>
        <item x="6"/>
        <item x="90"/>
        <item x="195"/>
        <item x="89"/>
        <item x="130"/>
        <item x="173"/>
        <item t="default"/>
      </items>
    </pivotField>
    <pivotField showAll="0"/>
    <pivotField showAll="0"/>
    <pivotField showAll="0"/>
    <pivotField showAll="0"/>
    <pivotField showAll="0"/>
    <pivotField showAll="0"/>
    <pivotField showAll="0"/>
    <pivotField numFmtId="4" showAll="0"/>
  </pivotFields>
  <rowItems count="1">
    <i/>
  </rowItems>
  <colFields count="1">
    <field x="1"/>
  </colFields>
  <colItems count="24">
    <i>
      <x v="157"/>
    </i>
    <i>
      <x v="158"/>
    </i>
    <i>
      <x v="159"/>
    </i>
    <i>
      <x v="160"/>
    </i>
    <i>
      <x v="161"/>
    </i>
    <i>
      <x v="162"/>
    </i>
    <i>
      <x v="163"/>
    </i>
    <i>
      <x v="164"/>
    </i>
    <i>
      <x v="165"/>
    </i>
    <i>
      <x v="166"/>
    </i>
    <i>
      <x v="167"/>
    </i>
    <i>
      <x v="168"/>
    </i>
    <i>
      <x v="169"/>
    </i>
    <i>
      <x v="170"/>
    </i>
    <i>
      <x v="171"/>
    </i>
    <i>
      <x v="172"/>
    </i>
    <i>
      <x v="173"/>
    </i>
    <i>
      <x v="174"/>
    </i>
    <i>
      <x v="175"/>
    </i>
    <i>
      <x v="176"/>
    </i>
    <i>
      <x v="177"/>
    </i>
    <i>
      <x v="178"/>
    </i>
    <i>
      <x v="179"/>
    </i>
    <i t="grand">
      <x/>
    </i>
  </colItems>
  <dataFields count="1">
    <dataField name="Count of Order_Date" fld="1" subtotal="count" baseField="0" baseItem="0"/>
  </dataFields>
  <formats count="4">
    <format dxfId="88">
      <pivotArea grandCol="1" outline="0" collapsedLevelsAreSubtotals="1" fieldPosition="0"/>
    </format>
    <format dxfId="87">
      <pivotArea dataOnly="0" labelOnly="1" grandCol="1" outline="0" fieldPosition="0"/>
    </format>
    <format dxfId="86">
      <pivotArea dataOnly="0" grandCol="1" outline="0" fieldPosition="0"/>
    </format>
    <format dxfId="85">
      <pivotArea dataOnly="0" grandCol="1" outline="0" fieldPosition="0"/>
    </format>
  </formats>
  <pivotTableStyleInfo name="PivotStyleLight16" showRowHeaders="1" showColHeaders="1" showRowStripes="0" showColStripes="0" showLastColumn="1"/>
  <filters count="1">
    <filter fld="1" type="dateBetween" evalOrder="-1" id="4">
      <autoFilter ref="A1">
        <filterColumn colId="0">
          <customFilters and="1">
            <customFilter operator="greaterThanOrEqual" val="45870"/>
            <customFilter operator="lessThanOrEqual" val="459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8503C30-3D38-405A-A764-67903D33CD6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7:F119" firstHeaderRow="1" firstDataRow="2" firstDataCol="1" rowPageCount="1" colPageCount="1"/>
  <pivotFields count="10">
    <pivotField showAll="0"/>
    <pivotField numFmtId="164" showAll="0"/>
    <pivotField showAll="0"/>
    <pivotField showAll="0"/>
    <pivotField showAll="0"/>
    <pivotField axis="axisCol" showAll="0">
      <items count="5">
        <item h="1" x="2"/>
        <item x="0"/>
        <item x="1"/>
        <item x="3"/>
        <item t="default"/>
      </items>
    </pivotField>
    <pivotField axis="axisPage" multipleItemSelectionAllowed="1" showAll="0">
      <items count="4">
        <item h="1" x="1"/>
        <item h="1" x="0"/>
        <item x="2"/>
        <item t="default"/>
      </items>
    </pivotField>
    <pivotField showAll="0"/>
    <pivotField showAll="0"/>
    <pivotField dataField="1" numFmtId="4" showAll="0"/>
  </pivotFields>
  <rowItems count="1">
    <i/>
  </rowItems>
  <colFields count="1">
    <field x="5"/>
  </colFields>
  <colItems count="4">
    <i>
      <x v="1"/>
    </i>
    <i>
      <x v="2"/>
    </i>
    <i>
      <x v="3"/>
    </i>
    <i t="grand">
      <x/>
    </i>
  </colItems>
  <pageFields count="1">
    <pageField fld="6" hier="-1"/>
  </pageFields>
  <dataFields count="1">
    <dataField name="Sum of Order_Amount" fld="9" baseField="0" baseItem="0" numFmtId="4"/>
  </dataFields>
  <formats count="7">
    <format dxfId="95">
      <pivotArea outline="0" collapsedLevelsAreSubtotals="1" fieldPosition="0">
        <references count="1">
          <reference field="5" count="0" selected="0"/>
        </references>
      </pivotArea>
    </format>
    <format dxfId="94">
      <pivotArea dataOnly="0" labelOnly="1" fieldPosition="0">
        <references count="1">
          <reference field="5" count="0"/>
        </references>
      </pivotArea>
    </format>
    <format dxfId="93">
      <pivotArea dataOnly="0" grandCol="1" outline="0" fieldPosition="0"/>
    </format>
    <format dxfId="92">
      <pivotArea grandCol="1" outline="0" collapsedLevelsAreSubtotals="1" fieldPosition="0"/>
    </format>
    <format dxfId="91">
      <pivotArea dataOnly="0" labelOnly="1" grandCol="1" outline="0" fieldPosition="0"/>
    </format>
    <format dxfId="90">
      <pivotArea grandCol="1" outline="0" collapsedLevelsAreSubtotals="1" fieldPosition="0"/>
    </format>
    <format dxfId="8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A470529-7515-4086-8F8A-BEE201D193AD}"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75:C77" firstHeaderRow="1" firstDataRow="2" firstDataCol="1" rowPageCount="1" colPageCount="1"/>
  <pivotFields count="10">
    <pivotField showAll="0"/>
    <pivotField numFmtId="164" showAll="0"/>
    <pivotField showAll="0"/>
    <pivotField showAll="0"/>
    <pivotField axis="axisPage" showAll="0">
      <items count="11">
        <item x="9"/>
        <item x="2"/>
        <item x="7"/>
        <item x="1"/>
        <item x="3"/>
        <item x="4"/>
        <item x="8"/>
        <item x="0"/>
        <item x="5"/>
        <item x="6"/>
        <item t="default"/>
      </items>
    </pivotField>
    <pivotField showAll="0"/>
    <pivotField showAll="0"/>
    <pivotField axis="axisCol" showAll="0">
      <items count="6">
        <item h="1" x="2"/>
        <item x="0"/>
        <item h="1" x="3"/>
        <item h="1" x="1"/>
        <item h="1" x="4"/>
        <item t="default"/>
      </items>
    </pivotField>
    <pivotField dataField="1" showAll="0"/>
    <pivotField numFmtId="4" showAll="0"/>
  </pivotFields>
  <rowItems count="1">
    <i/>
  </rowItems>
  <colFields count="1">
    <field x="7"/>
  </colFields>
  <colItems count="1">
    <i>
      <x v="1"/>
    </i>
  </colItems>
  <pageFields count="1">
    <pageField fld="4" item="8" hier="-1"/>
  </pageFields>
  <dataFields count="1">
    <dataField name="Average of Quantity" fld="8" subtotal="average" baseField="7" baseItem="0"/>
  </dataFields>
  <formats count="3">
    <format dxfId="98">
      <pivotArea outline="0" collapsedLevelsAreSubtotals="1" fieldPosition="0"/>
    </format>
    <format dxfId="97">
      <pivotArea outline="0" collapsedLevelsAreSubtotals="1" fieldPosition="0"/>
    </format>
    <format dxfId="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53A9683-D252-4DAF-B6FC-7D9B916BC3CD}"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rowPageCount="1" colPageCount="1"/>
  <pivotFields count="10">
    <pivotField showAll="0"/>
    <pivotField numFmtId="164" showAll="0"/>
    <pivotField showAll="0"/>
    <pivotField showAll="0"/>
    <pivotField showAll="0"/>
    <pivotField axis="axisPage" dataField="1" showAll="0">
      <items count="5">
        <item x="2"/>
        <item x="0"/>
        <item x="1"/>
        <item x="3"/>
        <item t="default"/>
      </items>
    </pivotField>
    <pivotField showAll="0"/>
    <pivotField showAll="0"/>
    <pivotField showAll="0"/>
    <pivotField numFmtId="4" showAll="0"/>
  </pivotFields>
  <rowItems count="1">
    <i/>
  </rowItems>
  <colItems count="1">
    <i/>
  </colItems>
  <pageFields count="1">
    <pageField fld="5" item="1" hier="-1"/>
  </pageFields>
  <dataFields count="1">
    <dataField name="Count of Order_Status" fld="5" subtotal="count" baseField="0" baseItem="0"/>
  </dataFields>
  <formats count="3">
    <format dxfId="101">
      <pivotArea outline="0" collapsedLevelsAreSubtotals="1" fieldPosition="0"/>
    </format>
    <format dxfId="100">
      <pivotArea outline="0" collapsedLevelsAreSubtotals="1" fieldPosition="0"/>
    </format>
    <format dxfId="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5D74382-0B34-45C3-8165-B03133951F75}"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68:C70" firstHeaderRow="1" firstDataRow="2" firstDataCol="1" rowPageCount="1" colPageCount="1"/>
  <pivotFields count="10">
    <pivotField showAll="0"/>
    <pivotField numFmtId="164" showAll="0"/>
    <pivotField axis="axisPage" showAll="0">
      <items count="19">
        <item x="16"/>
        <item x="8"/>
        <item x="9"/>
        <item x="14"/>
        <item x="7"/>
        <item x="5"/>
        <item x="2"/>
        <item x="0"/>
        <item x="11"/>
        <item x="6"/>
        <item x="13"/>
        <item x="4"/>
        <item x="12"/>
        <item x="1"/>
        <item x="17"/>
        <item x="15"/>
        <item x="10"/>
        <item x="3"/>
        <item t="default"/>
      </items>
    </pivotField>
    <pivotField axis="axisCol" showAll="0">
      <items count="4">
        <item h="1" x="2"/>
        <item x="0"/>
        <item h="1" x="1"/>
        <item t="default"/>
      </items>
    </pivotField>
    <pivotField showAll="0"/>
    <pivotField axis="axisRow" showAll="0">
      <items count="5">
        <item h="1" x="2"/>
        <item x="0"/>
        <item h="1" x="1"/>
        <item h="1" x="3"/>
        <item t="default"/>
      </items>
    </pivotField>
    <pivotField showAll="0"/>
    <pivotField showAll="0"/>
    <pivotField showAll="0"/>
    <pivotField dataField="1" numFmtId="4" showAll="0"/>
  </pivotFields>
  <rowFields count="1">
    <field x="5"/>
  </rowFields>
  <rowItems count="1">
    <i>
      <x v="1"/>
    </i>
  </rowItems>
  <colFields count="1">
    <field x="3"/>
  </colFields>
  <colItems count="1">
    <i>
      <x v="1"/>
    </i>
  </colItems>
  <pageFields count="1">
    <pageField fld="2" item="17" hier="-1"/>
  </pageFields>
  <dataFields count="1">
    <dataField name="Average of Order_Amount" fld="9" subtotal="average" baseField="0" baseItem="0" numFmtId="4"/>
  </dataFields>
  <formats count="3">
    <format dxfId="104">
      <pivotArea outline="0" collapsedLevelsAreSubtotals="1" fieldPosition="0"/>
    </format>
    <format dxfId="103">
      <pivotArea outline="0" collapsedLevelsAreSubtotals="1" fieldPosition="0"/>
    </format>
    <format dxfId="10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06DB424-12E1-4137-978C-A1E08A0A36C3}"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54:C56" firstHeaderRow="1" firstDataRow="2" firstDataCol="1" rowPageCount="1" colPageCount="1"/>
  <pivotFields count="10">
    <pivotField showAll="0"/>
    <pivotField numFmtId="164" showAll="0"/>
    <pivotField axis="axisPage" showAll="0">
      <items count="19">
        <item x="16"/>
        <item x="8"/>
        <item x="9"/>
        <item x="14"/>
        <item x="7"/>
        <item x="5"/>
        <item x="2"/>
        <item x="0"/>
        <item x="11"/>
        <item x="6"/>
        <item x="13"/>
        <item x="4"/>
        <item x="12"/>
        <item x="1"/>
        <item x="17"/>
        <item x="15"/>
        <item x="10"/>
        <item x="3"/>
        <item t="default"/>
      </items>
    </pivotField>
    <pivotField axis="axisCol" showAll="0">
      <items count="4">
        <item h="1" x="2"/>
        <item h="1" x="0"/>
        <item x="1"/>
        <item t="default"/>
      </items>
    </pivotField>
    <pivotField showAll="0"/>
    <pivotField showAll="0"/>
    <pivotField showAll="0"/>
    <pivotField showAll="0"/>
    <pivotField showAll="0"/>
    <pivotField dataField="1" numFmtId="4" showAll="0"/>
  </pivotFields>
  <rowItems count="1">
    <i/>
  </rowItems>
  <colFields count="1">
    <field x="3"/>
  </colFields>
  <colItems count="1">
    <i>
      <x v="2"/>
    </i>
  </colItems>
  <pageFields count="1">
    <pageField fld="2" item="13" hier="-1"/>
  </pageFields>
  <dataFields count="1">
    <dataField name="Sum of Order_Amount" fld="9" baseField="0" baseItem="0" numFmtId="4"/>
  </dataFields>
  <formats count="3">
    <format dxfId="107">
      <pivotArea outline="0" collapsedLevelsAreSubtotals="1" fieldPosition="0"/>
    </format>
    <format dxfId="106">
      <pivotArea outline="0" collapsedLevelsAreSubtotals="1" fieldPosition="0"/>
    </format>
    <format dxfId="10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AD253D1-50D0-4F82-97AB-F40A34975DB6}"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110:C112" firstHeaderRow="1" firstDataRow="2" firstDataCol="1" rowPageCount="1" colPageCount="1"/>
  <pivotFields count="10">
    <pivotField showAll="0"/>
    <pivotField numFmtId="164" showAll="0"/>
    <pivotField showAll="0"/>
    <pivotField showAll="0"/>
    <pivotField axis="axisPage" showAll="0">
      <items count="11">
        <item x="9"/>
        <item x="2"/>
        <item x="7"/>
        <item x="1"/>
        <item x="3"/>
        <item x="4"/>
        <item x="8"/>
        <item x="0"/>
        <item x="5"/>
        <item x="6"/>
        <item t="default"/>
      </items>
    </pivotField>
    <pivotField axis="axisCol" showAll="0">
      <items count="5">
        <item h="1" x="2"/>
        <item x="0"/>
        <item h="1" x="1"/>
        <item h="1" x="3"/>
        <item t="default"/>
      </items>
    </pivotField>
    <pivotField showAll="0">
      <items count="4">
        <item x="1"/>
        <item x="0"/>
        <item x="2"/>
        <item t="default"/>
      </items>
    </pivotField>
    <pivotField axis="axisRow" showAll="0">
      <items count="6">
        <item h="1" x="2"/>
        <item h="1" x="0"/>
        <item h="1" x="3"/>
        <item x="1"/>
        <item h="1" x="4"/>
        <item t="default"/>
      </items>
    </pivotField>
    <pivotField showAll="0"/>
    <pivotField dataField="1" numFmtId="4" showAll="0"/>
  </pivotFields>
  <rowFields count="1">
    <field x="7"/>
  </rowFields>
  <rowItems count="1">
    <i>
      <x v="3"/>
    </i>
  </rowItems>
  <colFields count="1">
    <field x="5"/>
  </colFields>
  <colItems count="1">
    <i>
      <x v="1"/>
    </i>
  </colItems>
  <pageFields count="1">
    <pageField fld="4" item="1" hier="-1"/>
  </pageFields>
  <dataFields count="1">
    <dataField name="Average of Order_Amount" fld="9" subtotal="average" baseField="0" baseItem="0" numFmtId="4"/>
  </dataFields>
  <formats count="3">
    <format dxfId="110">
      <pivotArea outline="0" collapsedLevelsAreSubtotals="1" fieldPosition="0"/>
    </format>
    <format dxfId="109">
      <pivotArea outline="0" collapsedLevelsAreSubtotals="1" fieldPosition="0"/>
    </format>
    <format dxfId="10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56F185C-6B8F-489B-9D7D-0668FA63CF0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B17" firstHeaderRow="1" firstDataRow="1" firstDataCol="0" rowPageCount="1" colPageCount="1"/>
  <pivotFields count="10">
    <pivotField showAll="0"/>
    <pivotField numFmtId="164" showAll="0"/>
    <pivotField showAll="0"/>
    <pivotField showAll="0"/>
    <pivotField axis="axisPage" showAll="0">
      <items count="11">
        <item x="9"/>
        <item x="2"/>
        <item x="7"/>
        <item x="1"/>
        <item x="3"/>
        <item x="4"/>
        <item x="8"/>
        <item x="0"/>
        <item x="5"/>
        <item x="6"/>
        <item t="default"/>
      </items>
    </pivotField>
    <pivotField showAll="0"/>
    <pivotField showAll="0"/>
    <pivotField showAll="0"/>
    <pivotField showAll="0"/>
    <pivotField dataField="1" numFmtId="4" showAll="0"/>
  </pivotFields>
  <rowItems count="1">
    <i/>
  </rowItems>
  <colItems count="1">
    <i/>
  </colItems>
  <pageFields count="1">
    <pageField fld="4" item="3" hier="-1"/>
  </pageFields>
  <dataFields count="1">
    <dataField name="Sum of Order_Amount" fld="9" baseField="0" baseItem="0" numFmtId="4"/>
  </dataFields>
  <formats count="3">
    <format dxfId="113">
      <pivotArea outline="0" collapsedLevelsAreSubtotals="1" fieldPosition="0"/>
    </format>
    <format dxfId="112">
      <pivotArea outline="0" collapsedLevelsAreSubtotals="1" fieldPosition="0"/>
    </format>
    <format dxfId="1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10FD304-43AD-40E6-AAF9-8156DA75832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8:DA90" firstHeaderRow="1" firstDataRow="2" firstDataCol="1"/>
  <pivotFields count="10">
    <pivotField showAll="0"/>
    <pivotField numFmtId="164" showAll="0"/>
    <pivotField showAll="0"/>
    <pivotField showAll="0"/>
    <pivotField showAll="0"/>
    <pivotField showAll="0"/>
    <pivotField showAll="0"/>
    <pivotField showAll="0"/>
    <pivotField showAll="0"/>
    <pivotField axis="axisCol" dataField="1" numFmtId="4" showAll="0" measureFilter="1">
      <items count="452">
        <item x="3"/>
        <item x="94"/>
        <item x="112"/>
        <item x="202"/>
        <item x="419"/>
        <item x="65"/>
        <item x="350"/>
        <item x="124"/>
        <item x="201"/>
        <item x="4"/>
        <item x="316"/>
        <item x="382"/>
        <item x="415"/>
        <item x="60"/>
        <item x="426"/>
        <item x="215"/>
        <item x="10"/>
        <item x="183"/>
        <item x="238"/>
        <item x="249"/>
        <item x="318"/>
        <item x="25"/>
        <item x="161"/>
        <item x="122"/>
        <item x="397"/>
        <item x="70"/>
        <item x="366"/>
        <item x="222"/>
        <item x="108"/>
        <item x="165"/>
        <item x="236"/>
        <item x="125"/>
        <item x="144"/>
        <item x="216"/>
        <item x="167"/>
        <item x="409"/>
        <item x="322"/>
        <item x="107"/>
        <item x="82"/>
        <item x="319"/>
        <item x="330"/>
        <item x="287"/>
        <item x="149"/>
        <item x="33"/>
        <item x="219"/>
        <item x="271"/>
        <item x="98"/>
        <item x="307"/>
        <item x="221"/>
        <item x="38"/>
        <item x="42"/>
        <item x="134"/>
        <item x="227"/>
        <item x="29"/>
        <item x="179"/>
        <item x="305"/>
        <item x="446"/>
        <item x="73"/>
        <item x="258"/>
        <item x="433"/>
        <item x="354"/>
        <item x="163"/>
        <item x="14"/>
        <item x="300"/>
        <item x="87"/>
        <item x="118"/>
        <item x="423"/>
        <item x="206"/>
        <item x="439"/>
        <item x="200"/>
        <item x="335"/>
        <item x="186"/>
        <item x="133"/>
        <item x="291"/>
        <item x="93"/>
        <item x="35"/>
        <item x="148"/>
        <item x="204"/>
        <item x="445"/>
        <item x="432"/>
        <item x="289"/>
        <item x="429"/>
        <item x="152"/>
        <item x="269"/>
        <item x="117"/>
        <item x="142"/>
        <item x="147"/>
        <item x="353"/>
        <item x="340"/>
        <item x="266"/>
        <item x="159"/>
        <item x="310"/>
        <item x="275"/>
        <item x="130"/>
        <item x="285"/>
        <item x="188"/>
        <item x="437"/>
        <item x="120"/>
        <item x="331"/>
        <item x="270"/>
        <item x="450"/>
        <item x="378"/>
        <item x="175"/>
        <item x="244"/>
        <item x="440"/>
        <item x="135"/>
        <item x="255"/>
        <item x="223"/>
        <item x="383"/>
        <item x="246"/>
        <item x="180"/>
        <item x="24"/>
        <item x="326"/>
        <item x="176"/>
        <item x="208"/>
        <item x="132"/>
        <item x="145"/>
        <item x="11"/>
        <item x="274"/>
        <item x="196"/>
        <item x="84"/>
        <item x="369"/>
        <item x="170"/>
        <item x="362"/>
        <item x="393"/>
        <item x="315"/>
        <item x="197"/>
        <item x="137"/>
        <item x="344"/>
        <item x="7"/>
        <item x="309"/>
        <item x="265"/>
        <item x="332"/>
        <item x="239"/>
        <item x="36"/>
        <item x="317"/>
        <item x="237"/>
        <item x="242"/>
        <item x="20"/>
        <item x="286"/>
        <item x="63"/>
        <item x="424"/>
        <item x="191"/>
        <item x="400"/>
        <item x="438"/>
        <item x="348"/>
        <item x="85"/>
        <item x="128"/>
        <item x="346"/>
        <item x="304"/>
        <item x="31"/>
        <item x="2"/>
        <item x="379"/>
        <item x="235"/>
        <item x="169"/>
        <item x="1"/>
        <item x="8"/>
        <item x="449"/>
        <item x="403"/>
        <item x="420"/>
        <item x="190"/>
        <item x="141"/>
        <item x="402"/>
        <item x="211"/>
        <item x="381"/>
        <item x="177"/>
        <item x="312"/>
        <item x="109"/>
        <item x="387"/>
        <item x="48"/>
        <item x="278"/>
        <item x="373"/>
        <item x="96"/>
        <item x="104"/>
        <item x="282"/>
        <item x="86"/>
        <item x="143"/>
        <item x="329"/>
        <item x="166"/>
        <item x="364"/>
        <item x="157"/>
        <item x="333"/>
        <item x="155"/>
        <item x="247"/>
        <item x="229"/>
        <item x="392"/>
        <item x="412"/>
        <item x="279"/>
        <item x="224"/>
        <item x="69"/>
        <item x="194"/>
        <item x="0"/>
        <item x="243"/>
        <item x="368"/>
        <item x="15"/>
        <item x="21"/>
        <item x="252"/>
        <item x="217"/>
        <item x="365"/>
        <item x="106"/>
        <item x="301"/>
        <item x="234"/>
        <item x="352"/>
        <item x="427"/>
        <item x="114"/>
        <item x="357"/>
        <item x="297"/>
        <item x="6"/>
        <item x="123"/>
        <item x="267"/>
        <item x="187"/>
        <item x="17"/>
        <item x="296"/>
        <item x="363"/>
        <item x="430"/>
        <item x="51"/>
        <item x="342"/>
        <item x="101"/>
        <item x="321"/>
        <item x="263"/>
        <item x="34"/>
        <item x="213"/>
        <item x="251"/>
        <item x="203"/>
        <item x="115"/>
        <item x="129"/>
        <item x="171"/>
        <item x="138"/>
        <item x="406"/>
        <item x="376"/>
        <item x="302"/>
        <item x="64"/>
        <item x="67"/>
        <item x="146"/>
        <item x="351"/>
        <item x="384"/>
        <item x="74"/>
        <item x="126"/>
        <item x="349"/>
        <item x="257"/>
        <item x="193"/>
        <item x="181"/>
        <item x="295"/>
        <item x="16"/>
        <item x="225"/>
        <item x="292"/>
        <item x="273"/>
        <item x="306"/>
        <item x="410"/>
        <item x="385"/>
        <item x="55"/>
        <item x="27"/>
        <item x="90"/>
        <item x="44"/>
        <item x="199"/>
        <item x="394"/>
        <item x="338"/>
        <item x="347"/>
        <item x="334"/>
        <item x="105"/>
        <item x="311"/>
        <item x="18"/>
        <item x="328"/>
        <item x="288"/>
        <item x="156"/>
        <item x="226"/>
        <item x="111"/>
        <item x="76"/>
        <item x="47"/>
        <item x="121"/>
        <item x="435"/>
        <item x="172"/>
        <item x="46"/>
        <item x="231"/>
        <item x="360"/>
        <item x="248"/>
        <item x="218"/>
        <item x="99"/>
        <item x="444"/>
        <item x="209"/>
        <item x="97"/>
        <item x="418"/>
        <item x="160"/>
        <item x="380"/>
        <item x="399"/>
        <item x="178"/>
        <item x="164"/>
        <item x="325"/>
        <item x="374"/>
        <item x="280"/>
        <item x="327"/>
        <item x="158"/>
        <item x="184"/>
        <item x="83"/>
        <item x="45"/>
        <item x="391"/>
        <item x="13"/>
        <item x="414"/>
        <item x="110"/>
        <item x="442"/>
        <item x="413"/>
        <item x="79"/>
        <item x="447"/>
        <item x="59"/>
        <item x="95"/>
        <item x="254"/>
        <item x="448"/>
        <item x="314"/>
        <item x="131"/>
        <item x="185"/>
        <item x="58"/>
        <item x="245"/>
        <item x="405"/>
        <item x="389"/>
        <item x="355"/>
        <item x="343"/>
        <item x="358"/>
        <item x="361"/>
        <item x="250"/>
        <item x="150"/>
        <item x="75"/>
        <item x="153"/>
        <item x="367"/>
        <item x="72"/>
        <item x="404"/>
        <item x="41"/>
        <item x="220"/>
        <item x="268"/>
        <item x="214"/>
        <item x="324"/>
        <item x="337"/>
        <item x="233"/>
        <item x="92"/>
        <item x="398"/>
        <item x="377"/>
        <item x="100"/>
        <item x="19"/>
        <item x="272"/>
        <item x="154"/>
        <item x="313"/>
        <item x="232"/>
        <item x="62"/>
        <item x="428"/>
        <item x="294"/>
        <item x="388"/>
        <item x="277"/>
        <item x="356"/>
        <item x="345"/>
        <item x="189"/>
        <item x="283"/>
        <item x="372"/>
        <item x="262"/>
        <item x="228"/>
        <item x="230"/>
        <item x="9"/>
        <item x="12"/>
        <item x="395"/>
        <item x="416"/>
        <item x="5"/>
        <item x="212"/>
        <item x="102"/>
        <item x="91"/>
        <item x="308"/>
        <item x="259"/>
        <item x="260"/>
        <item x="26"/>
        <item x="151"/>
        <item x="207"/>
        <item x="54"/>
        <item x="61"/>
        <item x="127"/>
        <item x="80"/>
        <item x="37"/>
        <item x="162"/>
        <item x="359"/>
        <item x="253"/>
        <item x="43"/>
        <item x="407"/>
        <item x="375"/>
        <item x="396"/>
        <item x="88"/>
        <item x="425"/>
        <item x="68"/>
        <item x="298"/>
        <item x="386"/>
        <item x="436"/>
        <item x="323"/>
        <item x="441"/>
        <item x="116"/>
        <item x="281"/>
        <item x="371"/>
        <item x="71"/>
        <item x="78"/>
        <item x="276"/>
        <item x="336"/>
        <item x="81"/>
        <item x="408"/>
        <item x="39"/>
        <item x="77"/>
        <item x="434"/>
        <item x="40"/>
        <item x="113"/>
        <item x="303"/>
        <item x="401"/>
        <item x="320"/>
        <item x="264"/>
        <item x="52"/>
        <item x="56"/>
        <item x="66"/>
        <item x="139"/>
        <item x="173"/>
        <item x="136"/>
        <item x="49"/>
        <item x="390"/>
        <item x="28"/>
        <item x="174"/>
        <item x="261"/>
        <item x="341"/>
        <item x="32"/>
        <item x="53"/>
        <item x="140"/>
        <item x="241"/>
        <item x="411"/>
        <item x="30"/>
        <item x="421"/>
        <item x="192"/>
        <item x="89"/>
        <item x="198"/>
        <item x="417"/>
        <item x="195"/>
        <item x="240"/>
        <item x="205"/>
        <item x="443"/>
        <item x="293"/>
        <item x="422"/>
        <item x="50"/>
        <item x="370"/>
        <item x="119"/>
        <item x="182"/>
        <item x="290"/>
        <item x="23"/>
        <item x="57"/>
        <item x="103"/>
        <item x="168"/>
        <item x="339"/>
        <item x="256"/>
        <item x="210"/>
        <item x="284"/>
        <item x="299"/>
        <item x="22"/>
        <item x="431"/>
        <item t="default"/>
      </items>
    </pivotField>
  </pivotFields>
  <rowItems count="1">
    <i/>
  </rowItems>
  <colFields count="1">
    <field x="9"/>
  </colFields>
  <colItems count="103">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t="grand">
      <x/>
    </i>
  </colItems>
  <dataFields count="1">
    <dataField name="Sum of Order_Amount" fld="9" baseField="0" baseItem="0" numFmtId="4"/>
  </dataFields>
  <formats count="6">
    <format dxfId="119">
      <pivotArea grandCol="1" outline="0" collapsedLevelsAreSubtotals="1" fieldPosition="0"/>
    </format>
    <format dxfId="118">
      <pivotArea dataOnly="0" labelOnly="1" grandCol="1" outline="0" fieldPosition="0"/>
    </format>
    <format dxfId="117">
      <pivotArea grandCol="1" outline="0" collapsedLevelsAreSubtotals="1" fieldPosition="0"/>
    </format>
    <format dxfId="116">
      <pivotArea dataOnly="0" labelOnly="1" grandCol="1" outline="0" fieldPosition="0"/>
    </format>
    <format dxfId="115">
      <pivotArea grandCol="1" outline="0" collapsedLevelsAreSubtotals="1" fieldPosition="0"/>
    </format>
    <format dxfId="114">
      <pivotArea dataOnly="0" labelOnly="1" grandCol="1" outline="0" fieldPosition="0"/>
    </format>
  </formats>
  <pivotTableStyleInfo name="PivotStyleLight16" showRowHeaders="1" showColHeaders="1" showRowStripes="0" showColStripes="0" showLastColumn="1"/>
  <filters count="1">
    <filter fld="9" type="valueGreaterThan" evalOrder="-1" id="4" iMeasureFld="0">
      <autoFilter ref="A1">
        <filterColumn colId="0">
          <customFilters>
            <customFilter operator="greaterThan" val="5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E2A6169-E001-4CC2-968B-0FCF334DCE6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6" firstHeaderRow="1" firstDataRow="1" firstDataCol="1"/>
  <pivotFields count="14">
    <pivotField showAll="0"/>
    <pivotField axis="axisRow" numFmtId="164" showAll="0">
      <items count="261">
        <item x="247"/>
        <item x="176"/>
        <item x="31"/>
        <item x="242"/>
        <item x="227"/>
        <item x="73"/>
        <item x="50"/>
        <item x="84"/>
        <item x="239"/>
        <item x="255"/>
        <item x="97"/>
        <item x="18"/>
        <item x="79"/>
        <item x="151"/>
        <item x="244"/>
        <item x="129"/>
        <item x="116"/>
        <item x="92"/>
        <item x="208"/>
        <item x="218"/>
        <item x="105"/>
        <item x="20"/>
        <item x="163"/>
        <item x="22"/>
        <item x="145"/>
        <item x="126"/>
        <item x="132"/>
        <item x="25"/>
        <item x="28"/>
        <item x="27"/>
        <item x="167"/>
        <item x="251"/>
        <item x="69"/>
        <item x="114"/>
        <item x="183"/>
        <item x="175"/>
        <item x="184"/>
        <item x="210"/>
        <item x="63"/>
        <item x="174"/>
        <item x="257"/>
        <item x="35"/>
        <item x="123"/>
        <item x="15"/>
        <item x="12"/>
        <item x="224"/>
        <item x="140"/>
        <item x="17"/>
        <item x="64"/>
        <item x="138"/>
        <item x="223"/>
        <item x="152"/>
        <item x="131"/>
        <item x="115"/>
        <item x="201"/>
        <item x="206"/>
        <item x="160"/>
        <item x="81"/>
        <item x="119"/>
        <item x="196"/>
        <item x="191"/>
        <item x="14"/>
        <item x="193"/>
        <item x="188"/>
        <item x="221"/>
        <item x="250"/>
        <item x="135"/>
        <item x="240"/>
        <item x="228"/>
        <item x="96"/>
        <item x="34"/>
        <item x="168"/>
        <item x="177"/>
        <item x="243"/>
        <item x="139"/>
        <item x="147"/>
        <item x="181"/>
        <item x="197"/>
        <item x="180"/>
        <item x="150"/>
        <item x="156"/>
        <item x="241"/>
        <item x="258"/>
        <item x="100"/>
        <item x="60"/>
        <item x="207"/>
        <item x="5"/>
        <item x="78"/>
        <item x="155"/>
        <item x="117"/>
        <item x="82"/>
        <item x="19"/>
        <item x="202"/>
        <item x="47"/>
        <item x="71"/>
        <item x="237"/>
        <item x="88"/>
        <item x="59"/>
        <item x="254"/>
        <item x="13"/>
        <item x="37"/>
        <item x="194"/>
        <item x="200"/>
        <item x="189"/>
        <item x="252"/>
        <item x="94"/>
        <item x="85"/>
        <item x="72"/>
        <item x="107"/>
        <item x="74"/>
        <item x="234"/>
        <item x="39"/>
        <item x="162"/>
        <item x="136"/>
        <item x="66"/>
        <item x="222"/>
        <item x="68"/>
        <item x="101"/>
        <item x="8"/>
        <item x="141"/>
        <item x="111"/>
        <item x="172"/>
        <item x="70"/>
        <item x="215"/>
        <item x="113"/>
        <item x="48"/>
        <item x="3"/>
        <item x="30"/>
        <item x="212"/>
        <item x="57"/>
        <item x="219"/>
        <item x="103"/>
        <item x="124"/>
        <item x="33"/>
        <item x="226"/>
        <item x="178"/>
        <item x="110"/>
        <item x="249"/>
        <item x="128"/>
        <item x="102"/>
        <item x="169"/>
        <item x="185"/>
        <item x="4"/>
        <item x="7"/>
        <item x="118"/>
        <item x="154"/>
        <item x="205"/>
        <item x="209"/>
        <item x="157"/>
        <item x="80"/>
        <item x="10"/>
        <item x="229"/>
        <item x="40"/>
        <item x="49"/>
        <item x="133"/>
        <item x="230"/>
        <item x="256"/>
        <item x="87"/>
        <item x="198"/>
        <item x="54"/>
        <item x="1"/>
        <item x="182"/>
        <item x="161"/>
        <item x="32"/>
        <item x="112"/>
        <item x="211"/>
        <item x="41"/>
        <item x="190"/>
        <item x="77"/>
        <item x="2"/>
        <item x="164"/>
        <item x="99"/>
        <item x="83"/>
        <item x="53"/>
        <item x="217"/>
        <item x="55"/>
        <item x="52"/>
        <item x="231"/>
        <item x="121"/>
        <item x="214"/>
        <item x="65"/>
        <item x="137"/>
        <item x="16"/>
        <item x="186"/>
        <item x="148"/>
        <item x="216"/>
        <item x="232"/>
        <item x="165"/>
        <item x="120"/>
        <item x="76"/>
        <item x="36"/>
        <item x="245"/>
        <item x="153"/>
        <item x="213"/>
        <item x="238"/>
        <item x="26"/>
        <item x="203"/>
        <item x="104"/>
        <item x="146"/>
        <item x="187"/>
        <item x="62"/>
        <item x="158"/>
        <item x="93"/>
        <item x="236"/>
        <item x="127"/>
        <item x="125"/>
        <item x="122"/>
        <item x="61"/>
        <item x="134"/>
        <item x="29"/>
        <item x="23"/>
        <item x="45"/>
        <item x="253"/>
        <item x="91"/>
        <item x="142"/>
        <item x="171"/>
        <item x="166"/>
        <item x="109"/>
        <item x="179"/>
        <item x="38"/>
        <item x="220"/>
        <item x="144"/>
        <item x="24"/>
        <item x="149"/>
        <item x="248"/>
        <item x="11"/>
        <item x="75"/>
        <item x="51"/>
        <item x="259"/>
        <item x="233"/>
        <item x="98"/>
        <item x="43"/>
        <item x="46"/>
        <item x="246"/>
        <item x="225"/>
        <item x="67"/>
        <item x="56"/>
        <item x="143"/>
        <item x="42"/>
        <item x="58"/>
        <item x="235"/>
        <item x="0"/>
        <item x="95"/>
        <item x="9"/>
        <item x="86"/>
        <item x="170"/>
        <item x="21"/>
        <item x="44"/>
        <item x="204"/>
        <item x="192"/>
        <item x="159"/>
        <item x="199"/>
        <item x="106"/>
        <item x="108"/>
        <item x="6"/>
        <item x="90"/>
        <item x="195"/>
        <item x="89"/>
        <item x="130"/>
        <item x="173"/>
        <item t="default"/>
      </items>
    </pivotField>
    <pivotField showAll="0"/>
    <pivotField showAll="0"/>
    <pivotField showAll="0">
      <items count="4">
        <item x="2"/>
        <item x="0"/>
        <item x="1"/>
        <item t="default"/>
      </items>
    </pivotField>
    <pivotField showAll="0">
      <items count="11">
        <item x="9"/>
        <item x="2"/>
        <item x="7"/>
        <item x="1"/>
        <item x="3"/>
        <item x="4"/>
        <item x="8"/>
        <item x="0"/>
        <item x="5"/>
        <item x="6"/>
        <item t="default"/>
      </items>
    </pivotField>
    <pivotField showAll="0"/>
    <pivotField showAll="0">
      <items count="4">
        <item x="1"/>
        <item x="0"/>
        <item x="2"/>
        <item t="default"/>
      </items>
    </pivotField>
    <pivotField showAll="0">
      <items count="6">
        <item x="2"/>
        <item x="0"/>
        <item x="3"/>
        <item x="1"/>
        <item x="4"/>
        <item t="default"/>
      </items>
    </pivotField>
    <pivotField showAll="0"/>
    <pivotField numFmtId="4" showAll="0"/>
    <pivotField dataField="1" numFmtId="4"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1"/>
  </rowFields>
  <rowItems count="13">
    <i>
      <x v="1"/>
    </i>
    <i>
      <x v="2"/>
    </i>
    <i>
      <x v="3"/>
    </i>
    <i>
      <x v="4"/>
    </i>
    <i>
      <x v="5"/>
    </i>
    <i>
      <x v="6"/>
    </i>
    <i>
      <x v="7"/>
    </i>
    <i>
      <x v="8"/>
    </i>
    <i>
      <x v="9"/>
    </i>
    <i>
      <x v="10"/>
    </i>
    <i>
      <x v="11"/>
    </i>
    <i>
      <x v="12"/>
    </i>
    <i t="grand">
      <x/>
    </i>
  </rowItems>
  <colItems count="1">
    <i/>
  </colItems>
  <dataFields count="1">
    <dataField name="Sum of Total Sales" fld="11" baseField="0" baseItem="0" numFmtId="167"/>
  </dataFields>
  <formats count="2">
    <format dxfId="43">
      <pivotArea outline="0" fieldPosition="0">
        <references count="1">
          <reference field="4294967294" count="1">
            <x v="0"/>
          </reference>
        </references>
      </pivotArea>
    </format>
    <format dxfId="42">
      <pivotArea outline="0" collapsedLevelsAreSubtotals="1" fieldPosition="0"/>
    </format>
  </format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3" count="1" selected="0">
            <x v="2"/>
          </reference>
        </references>
      </pivotArea>
    </chartFormat>
    <chartFormat chart="3" format="2">
      <pivotArea type="data" outline="0" fieldPosition="0">
        <references count="2">
          <reference field="4294967294" count="1" selected="0">
            <x v="0"/>
          </reference>
          <reference field="13" count="1" selected="0">
            <x v="6"/>
          </reference>
        </references>
      </pivotArea>
    </chartFormat>
    <chartFormat chart="3" format="3">
      <pivotArea type="data" outline="0" fieldPosition="0">
        <references count="2">
          <reference field="4294967294" count="1" selected="0">
            <x v="0"/>
          </reference>
          <reference field="13" count="1" selected="0">
            <x v="9"/>
          </reference>
        </references>
      </pivotArea>
    </chartFormat>
    <chartFormat chart="3" format="4">
      <pivotArea type="data" outline="0" fieldPosition="0">
        <references count="2">
          <reference field="4294967294" count="1" selected="0">
            <x v="0"/>
          </reference>
          <reference field="13" count="1" selected="0">
            <x v="12"/>
          </reference>
        </references>
      </pivotArea>
    </chartFormat>
    <chartFormat chart="3" format="5">
      <pivotArea type="data" outline="0" fieldPosition="0">
        <references count="2">
          <reference field="4294967294" count="1" selected="0">
            <x v="0"/>
          </reference>
          <reference field="13" count="1" selected="0">
            <x v="4"/>
          </reference>
        </references>
      </pivotArea>
    </chartFormat>
    <chartFormat chart="12" format="24" series="1">
      <pivotArea type="data" outline="0" fieldPosition="0">
        <references count="1">
          <reference field="4294967294" count="1" selected="0">
            <x v="0"/>
          </reference>
        </references>
      </pivotArea>
    </chartFormat>
    <chartFormat chart="12" format="25">
      <pivotArea type="data" outline="0" fieldPosition="0">
        <references count="2">
          <reference field="4294967294" count="1" selected="0">
            <x v="0"/>
          </reference>
          <reference field="13" count="1" selected="0">
            <x v="2"/>
          </reference>
        </references>
      </pivotArea>
    </chartFormat>
    <chartFormat chart="12" format="26">
      <pivotArea type="data" outline="0" fieldPosition="0">
        <references count="2">
          <reference field="4294967294" count="1" selected="0">
            <x v="0"/>
          </reference>
          <reference field="13" count="1" selected="0">
            <x v="4"/>
          </reference>
        </references>
      </pivotArea>
    </chartFormat>
    <chartFormat chart="12" format="27">
      <pivotArea type="data" outline="0" fieldPosition="0">
        <references count="2">
          <reference field="4294967294" count="1" selected="0">
            <x v="0"/>
          </reference>
          <reference field="13" count="1" selected="0">
            <x v="6"/>
          </reference>
        </references>
      </pivotArea>
    </chartFormat>
    <chartFormat chart="12" format="28">
      <pivotArea type="data" outline="0" fieldPosition="0">
        <references count="2">
          <reference field="4294967294" count="1" selected="0">
            <x v="0"/>
          </reference>
          <reference field="13" count="1" selected="0">
            <x v="9"/>
          </reference>
        </references>
      </pivotArea>
    </chartFormat>
    <chartFormat chart="12" format="29">
      <pivotArea type="data" outline="0" fieldPosition="0">
        <references count="2">
          <reference field="4294967294" count="1" selected="0">
            <x v="0"/>
          </reference>
          <reference field="1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27B434B-30EE-4038-BC28-C59BC0608A1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2:B87" firstHeaderRow="1" firstDataRow="1" firstDataCol="1"/>
  <pivotFields count="14">
    <pivotField showAll="0"/>
    <pivotField numFmtId="164" showAll="0">
      <items count="261">
        <item x="247"/>
        <item x="176"/>
        <item x="31"/>
        <item x="242"/>
        <item x="227"/>
        <item x="73"/>
        <item x="50"/>
        <item x="84"/>
        <item x="239"/>
        <item x="255"/>
        <item x="97"/>
        <item x="18"/>
        <item x="79"/>
        <item x="151"/>
        <item x="244"/>
        <item x="129"/>
        <item x="116"/>
        <item x="92"/>
        <item x="208"/>
        <item x="218"/>
        <item x="105"/>
        <item x="20"/>
        <item x="163"/>
        <item x="22"/>
        <item x="145"/>
        <item x="126"/>
        <item x="132"/>
        <item x="25"/>
        <item x="28"/>
        <item x="27"/>
        <item x="167"/>
        <item x="251"/>
        <item x="69"/>
        <item x="114"/>
        <item x="183"/>
        <item x="175"/>
        <item x="184"/>
        <item x="210"/>
        <item x="63"/>
        <item x="174"/>
        <item x="257"/>
        <item x="35"/>
        <item x="123"/>
        <item x="15"/>
        <item x="12"/>
        <item x="224"/>
        <item x="140"/>
        <item x="17"/>
        <item x="64"/>
        <item x="138"/>
        <item x="223"/>
        <item x="152"/>
        <item x="131"/>
        <item x="115"/>
        <item x="201"/>
        <item x="206"/>
        <item x="160"/>
        <item x="81"/>
        <item x="119"/>
        <item x="196"/>
        <item x="191"/>
        <item x="14"/>
        <item x="193"/>
        <item x="188"/>
        <item x="221"/>
        <item x="250"/>
        <item x="135"/>
        <item x="240"/>
        <item x="228"/>
        <item x="96"/>
        <item x="34"/>
        <item x="168"/>
        <item x="177"/>
        <item x="243"/>
        <item x="139"/>
        <item x="147"/>
        <item x="181"/>
        <item x="197"/>
        <item x="180"/>
        <item x="150"/>
        <item x="156"/>
        <item x="241"/>
        <item x="258"/>
        <item x="100"/>
        <item x="60"/>
        <item x="207"/>
        <item x="5"/>
        <item x="78"/>
        <item x="155"/>
        <item x="117"/>
        <item x="82"/>
        <item x="19"/>
        <item x="202"/>
        <item x="47"/>
        <item x="71"/>
        <item x="237"/>
        <item x="88"/>
        <item x="59"/>
        <item x="254"/>
        <item x="13"/>
        <item x="37"/>
        <item x="194"/>
        <item x="200"/>
        <item x="189"/>
        <item x="252"/>
        <item x="94"/>
        <item x="85"/>
        <item x="72"/>
        <item x="107"/>
        <item x="74"/>
        <item x="234"/>
        <item x="39"/>
        <item x="162"/>
        <item x="136"/>
        <item x="66"/>
        <item x="222"/>
        <item x="68"/>
        <item x="101"/>
        <item x="8"/>
        <item x="141"/>
        <item x="111"/>
        <item x="172"/>
        <item x="70"/>
        <item x="215"/>
        <item x="113"/>
        <item x="48"/>
        <item x="3"/>
        <item x="30"/>
        <item x="212"/>
        <item x="57"/>
        <item x="219"/>
        <item x="103"/>
        <item x="124"/>
        <item x="33"/>
        <item x="226"/>
        <item x="178"/>
        <item x="110"/>
        <item x="249"/>
        <item x="128"/>
        <item x="102"/>
        <item x="169"/>
        <item x="185"/>
        <item x="4"/>
        <item x="7"/>
        <item x="118"/>
        <item x="154"/>
        <item x="205"/>
        <item x="209"/>
        <item x="157"/>
        <item x="80"/>
        <item x="10"/>
        <item x="229"/>
        <item x="40"/>
        <item x="49"/>
        <item x="133"/>
        <item x="230"/>
        <item x="256"/>
        <item x="87"/>
        <item x="198"/>
        <item x="54"/>
        <item x="1"/>
        <item x="182"/>
        <item x="161"/>
        <item x="32"/>
        <item x="112"/>
        <item x="211"/>
        <item x="41"/>
        <item x="190"/>
        <item x="77"/>
        <item x="2"/>
        <item x="164"/>
        <item x="99"/>
        <item x="83"/>
        <item x="53"/>
        <item x="217"/>
        <item x="55"/>
        <item x="52"/>
        <item x="231"/>
        <item x="121"/>
        <item x="214"/>
        <item x="65"/>
        <item x="137"/>
        <item x="16"/>
        <item x="186"/>
        <item x="148"/>
        <item x="216"/>
        <item x="232"/>
        <item x="165"/>
        <item x="120"/>
        <item x="76"/>
        <item x="36"/>
        <item x="245"/>
        <item x="153"/>
        <item x="213"/>
        <item x="238"/>
        <item x="26"/>
        <item x="203"/>
        <item x="104"/>
        <item x="146"/>
        <item x="187"/>
        <item x="62"/>
        <item x="158"/>
        <item x="93"/>
        <item x="236"/>
        <item x="127"/>
        <item x="125"/>
        <item x="122"/>
        <item x="61"/>
        <item x="134"/>
        <item x="29"/>
        <item x="23"/>
        <item x="45"/>
        <item x="253"/>
        <item x="91"/>
        <item x="142"/>
        <item x="171"/>
        <item x="166"/>
        <item x="109"/>
        <item x="179"/>
        <item x="38"/>
        <item x="220"/>
        <item x="144"/>
        <item x="24"/>
        <item x="149"/>
        <item x="248"/>
        <item x="11"/>
        <item x="75"/>
        <item x="51"/>
        <item x="259"/>
        <item x="233"/>
        <item x="98"/>
        <item x="43"/>
        <item x="46"/>
        <item x="246"/>
        <item x="225"/>
        <item x="67"/>
        <item x="56"/>
        <item x="143"/>
        <item x="42"/>
        <item x="58"/>
        <item x="235"/>
        <item x="0"/>
        <item x="95"/>
        <item x="9"/>
        <item x="86"/>
        <item x="170"/>
        <item x="21"/>
        <item x="44"/>
        <item x="204"/>
        <item x="192"/>
        <item x="159"/>
        <item x="199"/>
        <item x="106"/>
        <item x="108"/>
        <item x="6"/>
        <item x="90"/>
        <item x="195"/>
        <item x="89"/>
        <item x="130"/>
        <item x="173"/>
        <item t="default"/>
      </items>
    </pivotField>
    <pivotField showAll="0"/>
    <pivotField showAll="0"/>
    <pivotField showAll="0">
      <items count="4">
        <item x="2"/>
        <item x="0"/>
        <item x="1"/>
        <item t="default"/>
      </items>
    </pivotField>
    <pivotField showAll="0">
      <items count="11">
        <item x="9"/>
        <item x="2"/>
        <item x="7"/>
        <item x="1"/>
        <item x="3"/>
        <item x="4"/>
        <item x="8"/>
        <item x="0"/>
        <item x="5"/>
        <item x="6"/>
        <item t="default"/>
      </items>
    </pivotField>
    <pivotField axis="axisRow" showAll="0">
      <items count="5">
        <item x="2"/>
        <item x="0"/>
        <item x="1"/>
        <item x="3"/>
        <item t="default"/>
      </items>
    </pivotField>
    <pivotField showAll="0">
      <items count="4">
        <item x="1"/>
        <item x="0"/>
        <item x="2"/>
        <item t="default"/>
      </items>
    </pivotField>
    <pivotField showAll="0">
      <items count="6">
        <item x="2"/>
        <item x="0"/>
        <item x="3"/>
        <item x="1"/>
        <item x="4"/>
        <item t="default"/>
      </items>
    </pivotField>
    <pivotField dataField="1" showAll="0"/>
    <pivotField numFmtId="4" showAll="0"/>
    <pivotField numFmtId="4"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5">
    <i>
      <x/>
    </i>
    <i>
      <x v="1"/>
    </i>
    <i>
      <x v="2"/>
    </i>
    <i>
      <x v="3"/>
    </i>
    <i t="grand">
      <x/>
    </i>
  </rowItems>
  <colItems count="1">
    <i/>
  </colItems>
  <dataFields count="1">
    <dataField name="Sum of Quantity" fld="9" showDataAs="percentOfTotal" baseField="6" baseItem="1"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3"/>
          </reference>
        </references>
      </pivotArea>
    </chartFormat>
    <chartFormat chart="0" format="3">
      <pivotArea type="data" outline="0" fieldPosition="0">
        <references count="2">
          <reference field="4294967294" count="1" selected="0">
            <x v="0"/>
          </reference>
          <reference field="6" count="1" selected="0">
            <x v="0"/>
          </reference>
        </references>
      </pivotArea>
    </chartFormat>
    <chartFormat chart="0" format="4">
      <pivotArea type="data" outline="0" fieldPosition="0">
        <references count="2">
          <reference field="4294967294" count="1" selected="0">
            <x v="0"/>
          </reference>
          <reference field="6" count="1" selected="0">
            <x v="1"/>
          </reference>
        </references>
      </pivotArea>
    </chartFormat>
    <chartFormat chart="5" format="20" series="1">
      <pivotArea type="data" outline="0" fieldPosition="0">
        <references count="1">
          <reference field="4294967294" count="1" selected="0">
            <x v="0"/>
          </reference>
        </references>
      </pivotArea>
    </chartFormat>
    <chartFormat chart="5" format="21">
      <pivotArea type="data" outline="0" fieldPosition="0">
        <references count="2">
          <reference field="4294967294" count="1" selected="0">
            <x v="0"/>
          </reference>
          <reference field="6" count="1" selected="0">
            <x v="0"/>
          </reference>
        </references>
      </pivotArea>
    </chartFormat>
    <chartFormat chart="5" format="22">
      <pivotArea type="data" outline="0" fieldPosition="0">
        <references count="2">
          <reference field="4294967294" count="1" selected="0">
            <x v="0"/>
          </reference>
          <reference field="6" count="1" selected="0">
            <x v="1"/>
          </reference>
        </references>
      </pivotArea>
    </chartFormat>
    <chartFormat chart="5" format="23">
      <pivotArea type="data" outline="0" fieldPosition="0">
        <references count="2">
          <reference field="4294967294" count="1" selected="0">
            <x v="0"/>
          </reference>
          <reference field="6" count="1" selected="0">
            <x v="2"/>
          </reference>
        </references>
      </pivotArea>
    </chartFormat>
    <chartFormat chart="5" format="2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A571D09-6B79-42B5-B5AA-7BE25FEFA50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2:B117" firstHeaderRow="1" firstDataRow="1" firstDataCol="1"/>
  <pivotFields count="14">
    <pivotField showAll="0"/>
    <pivotField numFmtId="164" showAll="0">
      <items count="261">
        <item x="247"/>
        <item x="176"/>
        <item x="31"/>
        <item x="242"/>
        <item x="227"/>
        <item x="73"/>
        <item x="50"/>
        <item x="84"/>
        <item x="239"/>
        <item x="255"/>
        <item x="97"/>
        <item x="18"/>
        <item x="79"/>
        <item x="151"/>
        <item x="244"/>
        <item x="129"/>
        <item x="116"/>
        <item x="92"/>
        <item x="208"/>
        <item x="218"/>
        <item x="105"/>
        <item x="20"/>
        <item x="163"/>
        <item x="22"/>
        <item x="145"/>
        <item x="126"/>
        <item x="132"/>
        <item x="25"/>
        <item x="28"/>
        <item x="27"/>
        <item x="167"/>
        <item x="251"/>
        <item x="69"/>
        <item x="114"/>
        <item x="183"/>
        <item x="175"/>
        <item x="184"/>
        <item x="210"/>
        <item x="63"/>
        <item x="174"/>
        <item x="257"/>
        <item x="35"/>
        <item x="123"/>
        <item x="15"/>
        <item x="12"/>
        <item x="224"/>
        <item x="140"/>
        <item x="17"/>
        <item x="64"/>
        <item x="138"/>
        <item x="223"/>
        <item x="152"/>
        <item x="131"/>
        <item x="115"/>
        <item x="201"/>
        <item x="206"/>
        <item x="160"/>
        <item x="81"/>
        <item x="119"/>
        <item x="196"/>
        <item x="191"/>
        <item x="14"/>
        <item x="193"/>
        <item x="188"/>
        <item x="221"/>
        <item x="250"/>
        <item x="135"/>
        <item x="240"/>
        <item x="228"/>
        <item x="96"/>
        <item x="34"/>
        <item x="168"/>
        <item x="177"/>
        <item x="243"/>
        <item x="139"/>
        <item x="147"/>
        <item x="181"/>
        <item x="197"/>
        <item x="180"/>
        <item x="150"/>
        <item x="156"/>
        <item x="241"/>
        <item x="258"/>
        <item x="100"/>
        <item x="60"/>
        <item x="207"/>
        <item x="5"/>
        <item x="78"/>
        <item x="155"/>
        <item x="117"/>
        <item x="82"/>
        <item x="19"/>
        <item x="202"/>
        <item x="47"/>
        <item x="71"/>
        <item x="237"/>
        <item x="88"/>
        <item x="59"/>
        <item x="254"/>
        <item x="13"/>
        <item x="37"/>
        <item x="194"/>
        <item x="200"/>
        <item x="189"/>
        <item x="252"/>
        <item x="94"/>
        <item x="85"/>
        <item x="72"/>
        <item x="107"/>
        <item x="74"/>
        <item x="234"/>
        <item x="39"/>
        <item x="162"/>
        <item x="136"/>
        <item x="66"/>
        <item x="222"/>
        <item x="68"/>
        <item x="101"/>
        <item x="8"/>
        <item x="141"/>
        <item x="111"/>
        <item x="172"/>
        <item x="70"/>
        <item x="215"/>
        <item x="113"/>
        <item x="48"/>
        <item x="3"/>
        <item x="30"/>
        <item x="212"/>
        <item x="57"/>
        <item x="219"/>
        <item x="103"/>
        <item x="124"/>
        <item x="33"/>
        <item x="226"/>
        <item x="178"/>
        <item x="110"/>
        <item x="249"/>
        <item x="128"/>
        <item x="102"/>
        <item x="169"/>
        <item x="185"/>
        <item x="4"/>
        <item x="7"/>
        <item x="118"/>
        <item x="154"/>
        <item x="205"/>
        <item x="209"/>
        <item x="157"/>
        <item x="80"/>
        <item x="10"/>
        <item x="229"/>
        <item x="40"/>
        <item x="49"/>
        <item x="133"/>
        <item x="230"/>
        <item x="256"/>
        <item x="87"/>
        <item x="198"/>
        <item x="54"/>
        <item x="1"/>
        <item x="182"/>
        <item x="161"/>
        <item x="32"/>
        <item x="112"/>
        <item x="211"/>
        <item x="41"/>
        <item x="190"/>
        <item x="77"/>
        <item x="2"/>
        <item x="164"/>
        <item x="99"/>
        <item x="83"/>
        <item x="53"/>
        <item x="217"/>
        <item x="55"/>
        <item x="52"/>
        <item x="231"/>
        <item x="121"/>
        <item x="214"/>
        <item x="65"/>
        <item x="137"/>
        <item x="16"/>
        <item x="186"/>
        <item x="148"/>
        <item x="216"/>
        <item x="232"/>
        <item x="165"/>
        <item x="120"/>
        <item x="76"/>
        <item x="36"/>
        <item x="245"/>
        <item x="153"/>
        <item x="213"/>
        <item x="238"/>
        <item x="26"/>
        <item x="203"/>
        <item x="104"/>
        <item x="146"/>
        <item x="187"/>
        <item x="62"/>
        <item x="158"/>
        <item x="93"/>
        <item x="236"/>
        <item x="127"/>
        <item x="125"/>
        <item x="122"/>
        <item x="61"/>
        <item x="134"/>
        <item x="29"/>
        <item x="23"/>
        <item x="45"/>
        <item x="253"/>
        <item x="91"/>
        <item x="142"/>
        <item x="171"/>
        <item x="166"/>
        <item x="109"/>
        <item x="179"/>
        <item x="38"/>
        <item x="220"/>
        <item x="144"/>
        <item x="24"/>
        <item x="149"/>
        <item x="248"/>
        <item x="11"/>
        <item x="75"/>
        <item x="51"/>
        <item x="259"/>
        <item x="233"/>
        <item x="98"/>
        <item x="43"/>
        <item x="46"/>
        <item x="246"/>
        <item x="225"/>
        <item x="67"/>
        <item x="56"/>
        <item x="143"/>
        <item x="42"/>
        <item x="58"/>
        <item x="235"/>
        <item x="0"/>
        <item x="95"/>
        <item x="9"/>
        <item x="86"/>
        <item x="170"/>
        <item x="21"/>
        <item x="44"/>
        <item x="204"/>
        <item x="192"/>
        <item x="159"/>
        <item x="199"/>
        <item x="106"/>
        <item x="108"/>
        <item x="6"/>
        <item x="90"/>
        <item x="195"/>
        <item x="89"/>
        <item x="130"/>
        <item x="173"/>
        <item t="default"/>
      </items>
    </pivotField>
    <pivotField showAll="0"/>
    <pivotField showAll="0"/>
    <pivotField showAll="0">
      <items count="4">
        <item x="2"/>
        <item x="0"/>
        <item x="1"/>
        <item t="default"/>
      </items>
    </pivotField>
    <pivotField showAll="0"/>
    <pivotField axis="axisRow" dataField="1" showAll="0">
      <items count="5">
        <item x="2"/>
        <item x="0"/>
        <item x="1"/>
        <item x="3"/>
        <item t="default"/>
      </items>
    </pivotField>
    <pivotField showAll="0">
      <items count="4">
        <item x="1"/>
        <item x="0"/>
        <item x="2"/>
        <item t="default"/>
      </items>
    </pivotField>
    <pivotField showAll="0">
      <items count="6">
        <item x="2"/>
        <item x="0"/>
        <item x="3"/>
        <item x="1"/>
        <item x="4"/>
        <item t="default"/>
      </items>
    </pivotField>
    <pivotField showAll="0"/>
    <pivotField numFmtId="4" showAll="0"/>
    <pivotField numFmtId="4"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5">
    <i>
      <x/>
    </i>
    <i>
      <x v="1"/>
    </i>
    <i>
      <x v="2"/>
    </i>
    <i>
      <x v="3"/>
    </i>
    <i t="grand">
      <x/>
    </i>
  </rowItems>
  <colItems count="1">
    <i/>
  </colItems>
  <dataFields count="1">
    <dataField name="Count of Order_Status" fld="6" subtotal="count" showDataAs="percentOfTotal"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5B1125B-24F3-4598-8674-FB3A6655788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3:B57" firstHeaderRow="1" firstDataRow="1" firstDataCol="1"/>
  <pivotFields count="14">
    <pivotField showAll="0"/>
    <pivotField numFmtId="164" showAll="0">
      <items count="261">
        <item x="247"/>
        <item x="176"/>
        <item x="31"/>
        <item x="242"/>
        <item x="227"/>
        <item x="73"/>
        <item x="50"/>
        <item x="84"/>
        <item x="239"/>
        <item x="255"/>
        <item x="97"/>
        <item x="18"/>
        <item x="79"/>
        <item x="151"/>
        <item x="244"/>
        <item x="129"/>
        <item x="116"/>
        <item x="92"/>
        <item x="208"/>
        <item x="218"/>
        <item x="105"/>
        <item x="20"/>
        <item x="163"/>
        <item x="22"/>
        <item x="145"/>
        <item x="126"/>
        <item x="132"/>
        <item x="25"/>
        <item x="28"/>
        <item x="27"/>
        <item x="167"/>
        <item x="251"/>
        <item x="69"/>
        <item x="114"/>
        <item x="183"/>
        <item x="175"/>
        <item x="184"/>
        <item x="210"/>
        <item x="63"/>
        <item x="174"/>
        <item x="257"/>
        <item x="35"/>
        <item x="123"/>
        <item x="15"/>
        <item x="12"/>
        <item x="224"/>
        <item x="140"/>
        <item x="17"/>
        <item x="64"/>
        <item x="138"/>
        <item x="223"/>
        <item x="152"/>
        <item x="131"/>
        <item x="115"/>
        <item x="201"/>
        <item x="206"/>
        <item x="160"/>
        <item x="81"/>
        <item x="119"/>
        <item x="196"/>
        <item x="191"/>
        <item x="14"/>
        <item x="193"/>
        <item x="188"/>
        <item x="221"/>
        <item x="250"/>
        <item x="135"/>
        <item x="240"/>
        <item x="228"/>
        <item x="96"/>
        <item x="34"/>
        <item x="168"/>
        <item x="177"/>
        <item x="243"/>
        <item x="139"/>
        <item x="147"/>
        <item x="181"/>
        <item x="197"/>
        <item x="180"/>
        <item x="150"/>
        <item x="156"/>
        <item x="241"/>
        <item x="258"/>
        <item x="100"/>
        <item x="60"/>
        <item x="207"/>
        <item x="5"/>
        <item x="78"/>
        <item x="155"/>
        <item x="117"/>
        <item x="82"/>
        <item x="19"/>
        <item x="202"/>
        <item x="47"/>
        <item x="71"/>
        <item x="237"/>
        <item x="88"/>
        <item x="59"/>
        <item x="254"/>
        <item x="13"/>
        <item x="37"/>
        <item x="194"/>
        <item x="200"/>
        <item x="189"/>
        <item x="252"/>
        <item x="94"/>
        <item x="85"/>
        <item x="72"/>
        <item x="107"/>
        <item x="74"/>
        <item x="234"/>
        <item x="39"/>
        <item x="162"/>
        <item x="136"/>
        <item x="66"/>
        <item x="222"/>
        <item x="68"/>
        <item x="101"/>
        <item x="8"/>
        <item x="141"/>
        <item x="111"/>
        <item x="172"/>
        <item x="70"/>
        <item x="215"/>
        <item x="113"/>
        <item x="48"/>
        <item x="3"/>
        <item x="30"/>
        <item x="212"/>
        <item x="57"/>
        <item x="219"/>
        <item x="103"/>
        <item x="124"/>
        <item x="33"/>
        <item x="226"/>
        <item x="178"/>
        <item x="110"/>
        <item x="249"/>
        <item x="128"/>
        <item x="102"/>
        <item x="169"/>
        <item x="185"/>
        <item x="4"/>
        <item x="7"/>
        <item x="118"/>
        <item x="154"/>
        <item x="205"/>
        <item x="209"/>
        <item x="157"/>
        <item x="80"/>
        <item x="10"/>
        <item x="229"/>
        <item x="40"/>
        <item x="49"/>
        <item x="133"/>
        <item x="230"/>
        <item x="256"/>
        <item x="87"/>
        <item x="198"/>
        <item x="54"/>
        <item x="1"/>
        <item x="182"/>
        <item x="161"/>
        <item x="32"/>
        <item x="112"/>
        <item x="211"/>
        <item x="41"/>
        <item x="190"/>
        <item x="77"/>
        <item x="2"/>
        <item x="164"/>
        <item x="99"/>
        <item x="83"/>
        <item x="53"/>
        <item x="217"/>
        <item x="55"/>
        <item x="52"/>
        <item x="231"/>
        <item x="121"/>
        <item x="214"/>
        <item x="65"/>
        <item x="137"/>
        <item x="16"/>
        <item x="186"/>
        <item x="148"/>
        <item x="216"/>
        <item x="232"/>
        <item x="165"/>
        <item x="120"/>
        <item x="76"/>
        <item x="36"/>
        <item x="245"/>
        <item x="153"/>
        <item x="213"/>
        <item x="238"/>
        <item x="26"/>
        <item x="203"/>
        <item x="104"/>
        <item x="146"/>
        <item x="187"/>
        <item x="62"/>
        <item x="158"/>
        <item x="93"/>
        <item x="236"/>
        <item x="127"/>
        <item x="125"/>
        <item x="122"/>
        <item x="61"/>
        <item x="134"/>
        <item x="29"/>
        <item x="23"/>
        <item x="45"/>
        <item x="253"/>
        <item x="91"/>
        <item x="142"/>
        <item x="171"/>
        <item x="166"/>
        <item x="109"/>
        <item x="179"/>
        <item x="38"/>
        <item x="220"/>
        <item x="144"/>
        <item x="24"/>
        <item x="149"/>
        <item x="248"/>
        <item x="11"/>
        <item x="75"/>
        <item x="51"/>
        <item x="259"/>
        <item x="233"/>
        <item x="98"/>
        <item x="43"/>
        <item x="46"/>
        <item x="246"/>
        <item x="225"/>
        <item x="67"/>
        <item x="56"/>
        <item x="143"/>
        <item x="42"/>
        <item x="58"/>
        <item x="235"/>
        <item x="0"/>
        <item x="95"/>
        <item x="9"/>
        <item x="86"/>
        <item x="170"/>
        <item x="21"/>
        <item x="44"/>
        <item x="204"/>
        <item x="192"/>
        <item x="159"/>
        <item x="199"/>
        <item x="106"/>
        <item x="108"/>
        <item x="6"/>
        <item x="90"/>
        <item x="195"/>
        <item x="89"/>
        <item x="130"/>
        <item x="173"/>
        <item t="default"/>
      </items>
    </pivotField>
    <pivotField showAll="0"/>
    <pivotField showAll="0"/>
    <pivotField axis="axisRow" showAll="0">
      <items count="4">
        <item x="2"/>
        <item x="0"/>
        <item x="1"/>
        <item t="default"/>
      </items>
    </pivotField>
    <pivotField showAll="0"/>
    <pivotField showAll="0">
      <items count="5">
        <item x="2"/>
        <item x="0"/>
        <item x="1"/>
        <item x="3"/>
        <item t="default"/>
      </items>
    </pivotField>
    <pivotField showAll="0"/>
    <pivotField showAll="0">
      <items count="6">
        <item x="2"/>
        <item x="0"/>
        <item x="3"/>
        <item x="1"/>
        <item x="4"/>
        <item t="default"/>
      </items>
    </pivotField>
    <pivotField showAll="0">
      <items count="26">
        <item x="8"/>
        <item x="3"/>
        <item x="14"/>
        <item x="6"/>
        <item x="16"/>
        <item x="9"/>
        <item x="7"/>
        <item x="2"/>
        <item x="0"/>
        <item x="1"/>
        <item x="17"/>
        <item x="15"/>
        <item x="5"/>
        <item x="4"/>
        <item x="18"/>
        <item x="11"/>
        <item x="22"/>
        <item x="23"/>
        <item x="19"/>
        <item x="12"/>
        <item x="13"/>
        <item x="10"/>
        <item x="20"/>
        <item x="21"/>
        <item x="24"/>
        <item t="default"/>
      </items>
    </pivotField>
    <pivotField numFmtId="4" showAll="0"/>
    <pivotField dataField="1" numFmtId="4"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4">
    <i>
      <x/>
    </i>
    <i>
      <x v="1"/>
    </i>
    <i>
      <x v="2"/>
    </i>
    <i t="grand">
      <x/>
    </i>
  </rowItems>
  <colItems count="1">
    <i/>
  </colItems>
  <dataFields count="1">
    <dataField name="Sum of Total Sales" fld="11" showDataAs="percentOfTotal" baseField="8" baseItem="0" numFmtId="10"/>
  </dataFields>
  <chartFormats count="8">
    <chartFormat chart="0" format="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4" count="1" selected="0">
            <x v="1"/>
          </reference>
        </references>
      </pivotArea>
    </chartFormat>
    <chartFormat chart="0" format="12">
      <pivotArea type="data" outline="0" fieldPosition="0">
        <references count="2">
          <reference field="4294967294" count="1" selected="0">
            <x v="0"/>
          </reference>
          <reference field="4" count="1" selected="0">
            <x v="0"/>
          </reference>
        </references>
      </pivotArea>
    </chartFormat>
    <chartFormat chart="0" format="13">
      <pivotArea type="data" outline="0" fieldPosition="0">
        <references count="2">
          <reference field="4294967294" count="1" selected="0">
            <x v="0"/>
          </reference>
          <reference field="4" count="1" selected="0">
            <x v="2"/>
          </reference>
        </references>
      </pivotArea>
    </chartFormat>
    <chartFormat chart="6" format="26" series="1">
      <pivotArea type="data" outline="0" fieldPosition="0">
        <references count="1">
          <reference field="4294967294" count="1" selected="0">
            <x v="0"/>
          </reference>
        </references>
      </pivotArea>
    </chartFormat>
    <chartFormat chart="6" format="27">
      <pivotArea type="data" outline="0" fieldPosition="0">
        <references count="2">
          <reference field="4294967294" count="1" selected="0">
            <x v="0"/>
          </reference>
          <reference field="4" count="1" selected="0">
            <x v="0"/>
          </reference>
        </references>
      </pivotArea>
    </chartFormat>
    <chartFormat chart="6" format="28">
      <pivotArea type="data" outline="0" fieldPosition="0">
        <references count="2">
          <reference field="4294967294" count="1" selected="0">
            <x v="0"/>
          </reference>
          <reference field="4" count="1" selected="0">
            <x v="1"/>
          </reference>
        </references>
      </pivotArea>
    </chartFormat>
    <chartFormat chart="6" format="29">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064152E-1D49-4740-8688-4892D5980C4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3:B29" firstHeaderRow="1" firstDataRow="1" firstDataCol="1"/>
  <pivotFields count="14">
    <pivotField showAll="0"/>
    <pivotField numFmtId="164" showAll="0">
      <items count="261">
        <item x="247"/>
        <item x="176"/>
        <item x="31"/>
        <item x="242"/>
        <item x="227"/>
        <item x="73"/>
        <item x="50"/>
        <item x="84"/>
        <item x="239"/>
        <item x="255"/>
        <item x="97"/>
        <item x="18"/>
        <item x="79"/>
        <item x="151"/>
        <item x="244"/>
        <item x="129"/>
        <item x="116"/>
        <item x="92"/>
        <item x="208"/>
        <item x="218"/>
        <item x="105"/>
        <item x="20"/>
        <item x="163"/>
        <item x="22"/>
        <item x="145"/>
        <item x="126"/>
        <item x="132"/>
        <item x="25"/>
        <item x="28"/>
        <item x="27"/>
        <item x="167"/>
        <item x="251"/>
        <item x="69"/>
        <item x="114"/>
        <item x="183"/>
        <item x="175"/>
        <item x="184"/>
        <item x="210"/>
        <item x="63"/>
        <item x="174"/>
        <item x="257"/>
        <item x="35"/>
        <item x="123"/>
        <item x="15"/>
        <item x="12"/>
        <item x="224"/>
        <item x="140"/>
        <item x="17"/>
        <item x="64"/>
        <item x="138"/>
        <item x="223"/>
        <item x="152"/>
        <item x="131"/>
        <item x="115"/>
        <item x="201"/>
        <item x="206"/>
        <item x="160"/>
        <item x="81"/>
        <item x="119"/>
        <item x="196"/>
        <item x="191"/>
        <item x="14"/>
        <item x="193"/>
        <item x="188"/>
        <item x="221"/>
        <item x="250"/>
        <item x="135"/>
        <item x="240"/>
        <item x="228"/>
        <item x="96"/>
        <item x="34"/>
        <item x="168"/>
        <item x="177"/>
        <item x="243"/>
        <item x="139"/>
        <item x="147"/>
        <item x="181"/>
        <item x="197"/>
        <item x="180"/>
        <item x="150"/>
        <item x="156"/>
        <item x="241"/>
        <item x="258"/>
        <item x="100"/>
        <item x="60"/>
        <item x="207"/>
        <item x="5"/>
        <item x="78"/>
        <item x="155"/>
        <item x="117"/>
        <item x="82"/>
        <item x="19"/>
        <item x="202"/>
        <item x="47"/>
        <item x="71"/>
        <item x="237"/>
        <item x="88"/>
        <item x="59"/>
        <item x="254"/>
        <item x="13"/>
        <item x="37"/>
        <item x="194"/>
        <item x="200"/>
        <item x="189"/>
        <item x="252"/>
        <item x="94"/>
        <item x="85"/>
        <item x="72"/>
        <item x="107"/>
        <item x="74"/>
        <item x="234"/>
        <item x="39"/>
        <item x="162"/>
        <item x="136"/>
        <item x="66"/>
        <item x="222"/>
        <item x="68"/>
        <item x="101"/>
        <item x="8"/>
        <item x="141"/>
        <item x="111"/>
        <item x="172"/>
        <item x="70"/>
        <item x="215"/>
        <item x="113"/>
        <item x="48"/>
        <item x="3"/>
        <item x="30"/>
        <item x="212"/>
        <item x="57"/>
        <item x="219"/>
        <item x="103"/>
        <item x="124"/>
        <item x="33"/>
        <item x="226"/>
        <item x="178"/>
        <item x="110"/>
        <item x="249"/>
        <item x="128"/>
        <item x="102"/>
        <item x="169"/>
        <item x="185"/>
        <item x="4"/>
        <item x="7"/>
        <item x="118"/>
        <item x="154"/>
        <item x="205"/>
        <item x="209"/>
        <item x="157"/>
        <item x="80"/>
        <item x="10"/>
        <item x="229"/>
        <item x="40"/>
        <item x="49"/>
        <item x="133"/>
        <item x="230"/>
        <item x="256"/>
        <item x="87"/>
        <item x="198"/>
        <item x="54"/>
        <item x="1"/>
        <item x="182"/>
        <item x="161"/>
        <item x="32"/>
        <item x="112"/>
        <item x="211"/>
        <item x="41"/>
        <item x="190"/>
        <item x="77"/>
        <item x="2"/>
        <item x="164"/>
        <item x="99"/>
        <item x="83"/>
        <item x="53"/>
        <item x="217"/>
        <item x="55"/>
        <item x="52"/>
        <item x="231"/>
        <item x="121"/>
        <item x="214"/>
        <item x="65"/>
        <item x="137"/>
        <item x="16"/>
        <item x="186"/>
        <item x="148"/>
        <item x="216"/>
        <item x="232"/>
        <item x="165"/>
        <item x="120"/>
        <item x="76"/>
        <item x="36"/>
        <item x="245"/>
        <item x="153"/>
        <item x="213"/>
        <item x="238"/>
        <item x="26"/>
        <item x="203"/>
        <item x="104"/>
        <item x="146"/>
        <item x="187"/>
        <item x="62"/>
        <item x="158"/>
        <item x="93"/>
        <item x="236"/>
        <item x="127"/>
        <item x="125"/>
        <item x="122"/>
        <item x="61"/>
        <item x="134"/>
        <item x="29"/>
        <item x="23"/>
        <item x="45"/>
        <item x="253"/>
        <item x="91"/>
        <item x="142"/>
        <item x="171"/>
        <item x="166"/>
        <item x="109"/>
        <item x="179"/>
        <item x="38"/>
        <item x="220"/>
        <item x="144"/>
        <item x="24"/>
        <item x="149"/>
        <item x="248"/>
        <item x="11"/>
        <item x="75"/>
        <item x="51"/>
        <item x="259"/>
        <item x="233"/>
        <item x="98"/>
        <item x="43"/>
        <item x="46"/>
        <item x="246"/>
        <item x="225"/>
        <item x="67"/>
        <item x="56"/>
        <item x="143"/>
        <item x="42"/>
        <item x="58"/>
        <item x="235"/>
        <item x="0"/>
        <item x="95"/>
        <item x="9"/>
        <item x="86"/>
        <item x="170"/>
        <item x="21"/>
        <item x="44"/>
        <item x="204"/>
        <item x="192"/>
        <item x="159"/>
        <item x="199"/>
        <item x="106"/>
        <item x="108"/>
        <item x="6"/>
        <item x="90"/>
        <item x="195"/>
        <item x="89"/>
        <item x="130"/>
        <item x="173"/>
        <item t="default"/>
      </items>
    </pivotField>
    <pivotField showAll="0"/>
    <pivotField axis="axisRow" showAll="0" measureFilter="1" sortType="descending">
      <items count="19">
        <item x="16"/>
        <item x="8"/>
        <item x="9"/>
        <item x="14"/>
        <item x="7"/>
        <item x="5"/>
        <item x="2"/>
        <item x="0"/>
        <item x="11"/>
        <item x="6"/>
        <item x="13"/>
        <item x="4"/>
        <item x="12"/>
        <item x="1"/>
        <item x="17"/>
        <item x="15"/>
        <item x="10"/>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items count="4">
        <item x="1"/>
        <item x="0"/>
        <item x="2"/>
        <item t="default"/>
      </items>
    </pivotField>
    <pivotField showAll="0">
      <items count="6">
        <item x="2"/>
        <item x="0"/>
        <item x="3"/>
        <item x="1"/>
        <item x="4"/>
        <item t="default"/>
      </items>
    </pivotField>
    <pivotField showAll="0"/>
    <pivotField numFmtId="4" showAll="0"/>
    <pivotField dataField="1" numFmtId="4"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v="1"/>
    </i>
    <i>
      <x v="5"/>
    </i>
    <i>
      <x v="6"/>
    </i>
    <i>
      <x v="9"/>
    </i>
    <i>
      <x v="4"/>
    </i>
    <i t="grand">
      <x/>
    </i>
  </rowItems>
  <colItems count="1">
    <i/>
  </colItems>
  <dataFields count="1">
    <dataField name="Sum of Total Sales" fld="11" baseField="0" baseItem="0" numFmtId="167"/>
  </dataFields>
  <formats count="1">
    <format dxfId="44">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3" count="1" selected="0">
            <x v="1"/>
          </reference>
        </references>
      </pivotArea>
    </chartFormat>
    <chartFormat chart="8" format="16">
      <pivotArea type="data" outline="0" fieldPosition="0">
        <references count="2">
          <reference field="4294967294" count="1" selected="0">
            <x v="0"/>
          </reference>
          <reference field="3" count="1" selected="0">
            <x v="5"/>
          </reference>
        </references>
      </pivotArea>
    </chartFormat>
    <chartFormat chart="8" format="17">
      <pivotArea type="data" outline="0" fieldPosition="0">
        <references count="2">
          <reference field="4294967294" count="1" selected="0">
            <x v="0"/>
          </reference>
          <reference field="3" count="1" selected="0">
            <x v="6"/>
          </reference>
        </references>
      </pivotArea>
    </chartFormat>
    <chartFormat chart="8" format="18">
      <pivotArea type="data" outline="0" fieldPosition="0">
        <references count="2">
          <reference field="4294967294" count="1" selected="0">
            <x v="0"/>
          </reference>
          <reference field="3" count="1" selected="0">
            <x v="9"/>
          </reference>
        </references>
      </pivotArea>
    </chartFormat>
    <chartFormat chart="8" format="19">
      <pivotArea type="data" outline="0" fieldPosition="0">
        <references count="2">
          <reference field="4294967294" count="1" selected="0">
            <x v="0"/>
          </reference>
          <reference field="3" count="1" selected="0">
            <x v="4"/>
          </reference>
        </references>
      </pivotArea>
    </chartFormat>
    <chartFormat chart="8" format="20">
      <pivotArea type="data" outline="0" fieldPosition="0">
        <references count="2">
          <reference field="4294967294" count="1" selected="0">
            <x v="0"/>
          </reference>
          <reference field="3" count="1" selected="0">
            <x v="11"/>
          </reference>
        </references>
      </pivotArea>
    </chartFormat>
    <chartFormat chart="8" format="21">
      <pivotArea type="data" outline="0" fieldPosition="0">
        <references count="2">
          <reference field="4294967294" count="1" selected="0">
            <x v="0"/>
          </reference>
          <reference field="3" count="1" selected="0">
            <x v="12"/>
          </reference>
        </references>
      </pivotArea>
    </chartFormat>
    <chartFormat chart="8" format="22">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3CA9EF97-EAF2-4779-98D2-8145DB95110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8:B44" firstHeaderRow="1" firstDataRow="1" firstDataCol="1"/>
  <pivotFields count="14">
    <pivotField showAll="0"/>
    <pivotField numFmtId="164" showAll="0">
      <items count="261">
        <item x="247"/>
        <item x="176"/>
        <item x="31"/>
        <item x="242"/>
        <item x="227"/>
        <item x="73"/>
        <item x="50"/>
        <item x="84"/>
        <item x="239"/>
        <item x="255"/>
        <item x="97"/>
        <item x="18"/>
        <item x="79"/>
        <item x="151"/>
        <item x="244"/>
        <item x="129"/>
        <item x="116"/>
        <item x="92"/>
        <item x="208"/>
        <item x="218"/>
        <item x="105"/>
        <item x="20"/>
        <item x="163"/>
        <item x="22"/>
        <item x="145"/>
        <item x="126"/>
        <item x="132"/>
        <item x="25"/>
        <item x="28"/>
        <item x="27"/>
        <item x="167"/>
        <item x="251"/>
        <item x="69"/>
        <item x="114"/>
        <item x="183"/>
        <item x="175"/>
        <item x="184"/>
        <item x="210"/>
        <item x="63"/>
        <item x="174"/>
        <item x="257"/>
        <item x="35"/>
        <item x="123"/>
        <item x="15"/>
        <item x="12"/>
        <item x="224"/>
        <item x="140"/>
        <item x="17"/>
        <item x="64"/>
        <item x="138"/>
        <item x="223"/>
        <item x="152"/>
        <item x="131"/>
        <item x="115"/>
        <item x="201"/>
        <item x="206"/>
        <item x="160"/>
        <item x="81"/>
        <item x="119"/>
        <item x="196"/>
        <item x="191"/>
        <item x="14"/>
        <item x="193"/>
        <item x="188"/>
        <item x="221"/>
        <item x="250"/>
        <item x="135"/>
        <item x="240"/>
        <item x="228"/>
        <item x="96"/>
        <item x="34"/>
        <item x="168"/>
        <item x="177"/>
        <item x="243"/>
        <item x="139"/>
        <item x="147"/>
        <item x="181"/>
        <item x="197"/>
        <item x="180"/>
        <item x="150"/>
        <item x="156"/>
        <item x="241"/>
        <item x="258"/>
        <item x="100"/>
        <item x="60"/>
        <item x="207"/>
        <item x="5"/>
        <item x="78"/>
        <item x="155"/>
        <item x="117"/>
        <item x="82"/>
        <item x="19"/>
        <item x="202"/>
        <item x="47"/>
        <item x="71"/>
        <item x="237"/>
        <item x="88"/>
        <item x="59"/>
        <item x="254"/>
        <item x="13"/>
        <item x="37"/>
        <item x="194"/>
        <item x="200"/>
        <item x="189"/>
        <item x="252"/>
        <item x="94"/>
        <item x="85"/>
        <item x="72"/>
        <item x="107"/>
        <item x="74"/>
        <item x="234"/>
        <item x="39"/>
        <item x="162"/>
        <item x="136"/>
        <item x="66"/>
        <item x="222"/>
        <item x="68"/>
        <item x="101"/>
        <item x="8"/>
        <item x="141"/>
        <item x="111"/>
        <item x="172"/>
        <item x="70"/>
        <item x="215"/>
        <item x="113"/>
        <item x="48"/>
        <item x="3"/>
        <item x="30"/>
        <item x="212"/>
        <item x="57"/>
        <item x="219"/>
        <item x="103"/>
        <item x="124"/>
        <item x="33"/>
        <item x="226"/>
        <item x="178"/>
        <item x="110"/>
        <item x="249"/>
        <item x="128"/>
        <item x="102"/>
        <item x="169"/>
        <item x="185"/>
        <item x="4"/>
        <item x="7"/>
        <item x="118"/>
        <item x="154"/>
        <item x="205"/>
        <item x="209"/>
        <item x="157"/>
        <item x="80"/>
        <item x="10"/>
        <item x="229"/>
        <item x="40"/>
        <item x="49"/>
        <item x="133"/>
        <item x="230"/>
        <item x="256"/>
        <item x="87"/>
        <item x="198"/>
        <item x="54"/>
        <item x="1"/>
        <item x="182"/>
        <item x="161"/>
        <item x="32"/>
        <item x="112"/>
        <item x="211"/>
        <item x="41"/>
        <item x="190"/>
        <item x="77"/>
        <item x="2"/>
        <item x="164"/>
        <item x="99"/>
        <item x="83"/>
        <item x="53"/>
        <item x="217"/>
        <item x="55"/>
        <item x="52"/>
        <item x="231"/>
        <item x="121"/>
        <item x="214"/>
        <item x="65"/>
        <item x="137"/>
        <item x="16"/>
        <item x="186"/>
        <item x="148"/>
        <item x="216"/>
        <item x="232"/>
        <item x="165"/>
        <item x="120"/>
        <item x="76"/>
        <item x="36"/>
        <item x="245"/>
        <item x="153"/>
        <item x="213"/>
        <item x="238"/>
        <item x="26"/>
        <item x="203"/>
        <item x="104"/>
        <item x="146"/>
        <item x="187"/>
        <item x="62"/>
        <item x="158"/>
        <item x="93"/>
        <item x="236"/>
        <item x="127"/>
        <item x="125"/>
        <item x="122"/>
        <item x="61"/>
        <item x="134"/>
        <item x="29"/>
        <item x="23"/>
        <item x="45"/>
        <item x="253"/>
        <item x="91"/>
        <item x="142"/>
        <item x="171"/>
        <item x="166"/>
        <item x="109"/>
        <item x="179"/>
        <item x="38"/>
        <item x="220"/>
        <item x="144"/>
        <item x="24"/>
        <item x="149"/>
        <item x="248"/>
        <item x="11"/>
        <item x="75"/>
        <item x="51"/>
        <item x="259"/>
        <item x="233"/>
        <item x="98"/>
        <item x="43"/>
        <item x="46"/>
        <item x="246"/>
        <item x="225"/>
        <item x="67"/>
        <item x="56"/>
        <item x="143"/>
        <item x="42"/>
        <item x="58"/>
        <item x="235"/>
        <item x="0"/>
        <item x="95"/>
        <item x="9"/>
        <item x="86"/>
        <item x="170"/>
        <item x="21"/>
        <item x="44"/>
        <item x="204"/>
        <item x="192"/>
        <item x="159"/>
        <item x="199"/>
        <item x="106"/>
        <item x="108"/>
        <item x="6"/>
        <item x="90"/>
        <item x="195"/>
        <item x="89"/>
        <item x="130"/>
        <item x="173"/>
        <item t="default"/>
      </items>
    </pivotField>
    <pivotField showAll="0"/>
    <pivotField showAll="0"/>
    <pivotField showAll="0">
      <items count="4">
        <item x="2"/>
        <item x="0"/>
        <item x="1"/>
        <item t="default"/>
      </items>
    </pivotField>
    <pivotField axis="axisRow" showAll="0" measureFilter="1" sortType="ascending">
      <items count="11">
        <item x="9"/>
        <item x="2"/>
        <item x="7"/>
        <item x="1"/>
        <item x="3"/>
        <item x="4"/>
        <item x="8"/>
        <item x="0"/>
        <item x="5"/>
        <item x="6"/>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items count="6">
        <item x="2"/>
        <item x="0"/>
        <item x="3"/>
        <item x="1"/>
        <item x="4"/>
        <item t="default"/>
      </items>
    </pivotField>
    <pivotField showAll="0"/>
    <pivotField numFmtId="4" showAll="0"/>
    <pivotField dataField="1" numFmtId="4"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v="7"/>
    </i>
    <i>
      <x v="3"/>
    </i>
    <i>
      <x v="2"/>
    </i>
    <i>
      <x/>
    </i>
    <i>
      <x v="5"/>
    </i>
    <i t="grand">
      <x/>
    </i>
  </rowItems>
  <colItems count="1">
    <i/>
  </colItems>
  <dataFields count="1">
    <dataField name="Sum of Total Sales" fld="11" baseField="0" baseItem="0" numFmtId="167"/>
  </dataFields>
  <formats count="1">
    <format dxfId="45">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5" count="1" selected="0">
            <x v="7"/>
          </reference>
        </references>
      </pivotArea>
    </chartFormat>
    <chartFormat chart="5" format="16">
      <pivotArea type="data" outline="0" fieldPosition="0">
        <references count="2">
          <reference field="4294967294" count="1" selected="0">
            <x v="0"/>
          </reference>
          <reference field="5" count="1" selected="0">
            <x v="3"/>
          </reference>
        </references>
      </pivotArea>
    </chartFormat>
    <chartFormat chart="5" format="17">
      <pivotArea type="data" outline="0" fieldPosition="0">
        <references count="2">
          <reference field="4294967294" count="1" selected="0">
            <x v="0"/>
          </reference>
          <reference field="5" count="1" selected="0">
            <x v="2"/>
          </reference>
        </references>
      </pivotArea>
    </chartFormat>
    <chartFormat chart="5" format="18">
      <pivotArea type="data" outline="0" fieldPosition="0">
        <references count="2">
          <reference field="4294967294" count="1" selected="0">
            <x v="0"/>
          </reference>
          <reference field="5" count="1" selected="0">
            <x v="0"/>
          </reference>
        </references>
      </pivotArea>
    </chartFormat>
    <chartFormat chart="5" format="19">
      <pivotArea type="data" outline="0" fieldPosition="0">
        <references count="2">
          <reference field="4294967294" count="1" selected="0">
            <x v="0"/>
          </reference>
          <reference field="5" count="1" selected="0">
            <x v="5"/>
          </reference>
        </references>
      </pivotArea>
    </chartFormat>
    <chartFormat chart="5" format="20">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A82D90B5-5D08-4F93-BF44-D32AFB9A4E7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6:A127" firstHeaderRow="1" firstDataRow="1" firstDataCol="0"/>
  <pivotFields count="14">
    <pivotField showAll="0"/>
    <pivotField numFmtId="164" showAll="0">
      <items count="261">
        <item x="247"/>
        <item x="176"/>
        <item x="31"/>
        <item x="242"/>
        <item x="227"/>
        <item x="73"/>
        <item x="50"/>
        <item x="84"/>
        <item x="239"/>
        <item x="255"/>
        <item x="97"/>
        <item x="18"/>
        <item x="79"/>
        <item x="151"/>
        <item x="244"/>
        <item x="129"/>
        <item x="116"/>
        <item x="92"/>
        <item x="208"/>
        <item x="218"/>
        <item x="105"/>
        <item x="20"/>
        <item x="163"/>
        <item x="22"/>
        <item x="145"/>
        <item x="126"/>
        <item x="132"/>
        <item x="25"/>
        <item x="28"/>
        <item x="27"/>
        <item x="167"/>
        <item x="251"/>
        <item x="69"/>
        <item x="114"/>
        <item x="183"/>
        <item x="175"/>
        <item x="184"/>
        <item x="210"/>
        <item x="63"/>
        <item x="174"/>
        <item x="257"/>
        <item x="35"/>
        <item x="123"/>
        <item x="15"/>
        <item x="12"/>
        <item x="224"/>
        <item x="140"/>
        <item x="17"/>
        <item x="64"/>
        <item x="138"/>
        <item x="223"/>
        <item x="152"/>
        <item x="131"/>
        <item x="115"/>
        <item x="201"/>
        <item x="206"/>
        <item x="160"/>
        <item x="81"/>
        <item x="119"/>
        <item x="196"/>
        <item x="191"/>
        <item x="14"/>
        <item x="193"/>
        <item x="188"/>
        <item x="221"/>
        <item x="250"/>
        <item x="135"/>
        <item x="240"/>
        <item x="228"/>
        <item x="96"/>
        <item x="34"/>
        <item x="168"/>
        <item x="177"/>
        <item x="243"/>
        <item x="139"/>
        <item x="147"/>
        <item x="181"/>
        <item x="197"/>
        <item x="180"/>
        <item x="150"/>
        <item x="156"/>
        <item x="241"/>
        <item x="258"/>
        <item x="100"/>
        <item x="60"/>
        <item x="207"/>
        <item x="5"/>
        <item x="78"/>
        <item x="155"/>
        <item x="117"/>
        <item x="82"/>
        <item x="19"/>
        <item x="202"/>
        <item x="47"/>
        <item x="71"/>
        <item x="237"/>
        <item x="88"/>
        <item x="59"/>
        <item x="254"/>
        <item x="13"/>
        <item x="37"/>
        <item x="194"/>
        <item x="200"/>
        <item x="189"/>
        <item x="252"/>
        <item x="94"/>
        <item x="85"/>
        <item x="72"/>
        <item x="107"/>
        <item x="74"/>
        <item x="234"/>
        <item x="39"/>
        <item x="162"/>
        <item x="136"/>
        <item x="66"/>
        <item x="222"/>
        <item x="68"/>
        <item x="101"/>
        <item x="8"/>
        <item x="141"/>
        <item x="111"/>
        <item x="172"/>
        <item x="70"/>
        <item x="215"/>
        <item x="113"/>
        <item x="48"/>
        <item x="3"/>
        <item x="30"/>
        <item x="212"/>
        <item x="57"/>
        <item x="219"/>
        <item x="103"/>
        <item x="124"/>
        <item x="33"/>
        <item x="226"/>
        <item x="178"/>
        <item x="110"/>
        <item x="249"/>
        <item x="128"/>
        <item x="102"/>
        <item x="169"/>
        <item x="185"/>
        <item x="4"/>
        <item x="7"/>
        <item x="118"/>
        <item x="154"/>
        <item x="205"/>
        <item x="209"/>
        <item x="157"/>
        <item x="80"/>
        <item x="10"/>
        <item x="229"/>
        <item x="40"/>
        <item x="49"/>
        <item x="133"/>
        <item x="230"/>
        <item x="256"/>
        <item x="87"/>
        <item x="198"/>
        <item x="54"/>
        <item x="1"/>
        <item x="182"/>
        <item x="161"/>
        <item x="32"/>
        <item x="112"/>
        <item x="211"/>
        <item x="41"/>
        <item x="190"/>
        <item x="77"/>
        <item x="2"/>
        <item x="164"/>
        <item x="99"/>
        <item x="83"/>
        <item x="53"/>
        <item x="217"/>
        <item x="55"/>
        <item x="52"/>
        <item x="231"/>
        <item x="121"/>
        <item x="214"/>
        <item x="65"/>
        <item x="137"/>
        <item x="16"/>
        <item x="186"/>
        <item x="148"/>
        <item x="216"/>
        <item x="232"/>
        <item x="165"/>
        <item x="120"/>
        <item x="76"/>
        <item x="36"/>
        <item x="245"/>
        <item x="153"/>
        <item x="213"/>
        <item x="238"/>
        <item x="26"/>
        <item x="203"/>
        <item x="104"/>
        <item x="146"/>
        <item x="187"/>
        <item x="62"/>
        <item x="158"/>
        <item x="93"/>
        <item x="236"/>
        <item x="127"/>
        <item x="125"/>
        <item x="122"/>
        <item x="61"/>
        <item x="134"/>
        <item x="29"/>
        <item x="23"/>
        <item x="45"/>
        <item x="253"/>
        <item x="91"/>
        <item x="142"/>
        <item x="171"/>
        <item x="166"/>
        <item x="109"/>
        <item x="179"/>
        <item x="38"/>
        <item x="220"/>
        <item x="144"/>
        <item x="24"/>
        <item x="149"/>
        <item x="248"/>
        <item x="11"/>
        <item x="75"/>
        <item x="51"/>
        <item x="259"/>
        <item x="233"/>
        <item x="98"/>
        <item x="43"/>
        <item x="46"/>
        <item x="246"/>
        <item x="225"/>
        <item x="67"/>
        <item x="56"/>
        <item x="143"/>
        <item x="42"/>
        <item x="58"/>
        <item x="235"/>
        <item x="0"/>
        <item x="95"/>
        <item x="9"/>
        <item x="86"/>
        <item x="170"/>
        <item x="21"/>
        <item x="44"/>
        <item x="204"/>
        <item x="192"/>
        <item x="159"/>
        <item x="199"/>
        <item x="106"/>
        <item x="108"/>
        <item x="6"/>
        <item x="90"/>
        <item x="195"/>
        <item x="89"/>
        <item x="130"/>
        <item x="173"/>
        <item t="default"/>
      </items>
    </pivotField>
    <pivotField showAll="0"/>
    <pivotField showAll="0"/>
    <pivotField showAll="0">
      <items count="4">
        <item x="2"/>
        <item x="0"/>
        <item x="1"/>
        <item t="default"/>
      </items>
    </pivotField>
    <pivotField showAll="0"/>
    <pivotField showAll="0"/>
    <pivotField showAll="0">
      <items count="4">
        <item x="1"/>
        <item x="0"/>
        <item x="2"/>
        <item t="default"/>
      </items>
    </pivotField>
    <pivotField showAll="0">
      <items count="6">
        <item x="2"/>
        <item x="0"/>
        <item x="3"/>
        <item x="1"/>
        <item x="4"/>
        <item t="default"/>
      </items>
    </pivotField>
    <pivotField showAll="0"/>
    <pivotField numFmtId="4" showAll="0"/>
    <pivotField dataField="1" numFmtId="4"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Total Sales" fld="11" baseField="0" baseItem="0" numFmtId="166"/>
  </dataFields>
  <formats count="2">
    <format dxfId="47">
      <pivotArea outline="0" collapsedLevelsAreSubtotals="1" fieldPosition="0"/>
    </format>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2DD8F04-7535-4CBB-8369-D2A2B203E39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94:B100" firstHeaderRow="1" firstDataRow="1" firstDataCol="1"/>
  <pivotFields count="14">
    <pivotField showAll="0"/>
    <pivotField numFmtId="164" showAll="0">
      <items count="261">
        <item x="247"/>
        <item x="176"/>
        <item x="31"/>
        <item x="242"/>
        <item x="227"/>
        <item x="73"/>
        <item x="50"/>
        <item x="84"/>
        <item x="239"/>
        <item x="255"/>
        <item x="97"/>
        <item x="18"/>
        <item x="79"/>
        <item x="151"/>
        <item x="244"/>
        <item x="129"/>
        <item x="116"/>
        <item x="92"/>
        <item x="208"/>
        <item x="218"/>
        <item x="105"/>
        <item x="20"/>
        <item x="163"/>
        <item x="22"/>
        <item x="145"/>
        <item x="126"/>
        <item x="132"/>
        <item x="25"/>
        <item x="28"/>
        <item x="27"/>
        <item x="167"/>
        <item x="251"/>
        <item x="69"/>
        <item x="114"/>
        <item x="183"/>
        <item x="175"/>
        <item x="184"/>
        <item x="210"/>
        <item x="63"/>
        <item x="174"/>
        <item x="257"/>
        <item x="35"/>
        <item x="123"/>
        <item x="15"/>
        <item x="12"/>
        <item x="224"/>
        <item x="140"/>
        <item x="17"/>
        <item x="64"/>
        <item x="138"/>
        <item x="223"/>
        <item x="152"/>
        <item x="131"/>
        <item x="115"/>
        <item x="201"/>
        <item x="206"/>
        <item x="160"/>
        <item x="81"/>
        <item x="119"/>
        <item x="196"/>
        <item x="191"/>
        <item x="14"/>
        <item x="193"/>
        <item x="188"/>
        <item x="221"/>
        <item x="250"/>
        <item x="135"/>
        <item x="240"/>
        <item x="228"/>
        <item x="96"/>
        <item x="34"/>
        <item x="168"/>
        <item x="177"/>
        <item x="243"/>
        <item x="139"/>
        <item x="147"/>
        <item x="181"/>
        <item x="197"/>
        <item x="180"/>
        <item x="150"/>
        <item x="156"/>
        <item x="241"/>
        <item x="258"/>
        <item x="100"/>
        <item x="60"/>
        <item x="207"/>
        <item x="5"/>
        <item x="78"/>
        <item x="155"/>
        <item x="117"/>
        <item x="82"/>
        <item x="19"/>
        <item x="202"/>
        <item x="47"/>
        <item x="71"/>
        <item x="237"/>
        <item x="88"/>
        <item x="59"/>
        <item x="254"/>
        <item x="13"/>
        <item x="37"/>
        <item x="194"/>
        <item x="200"/>
        <item x="189"/>
        <item x="252"/>
        <item x="94"/>
        <item x="85"/>
        <item x="72"/>
        <item x="107"/>
        <item x="74"/>
        <item x="234"/>
        <item x="39"/>
        <item x="162"/>
        <item x="136"/>
        <item x="66"/>
        <item x="222"/>
        <item x="68"/>
        <item x="101"/>
        <item x="8"/>
        <item x="141"/>
        <item x="111"/>
        <item x="172"/>
        <item x="70"/>
        <item x="215"/>
        <item x="113"/>
        <item x="48"/>
        <item x="3"/>
        <item x="30"/>
        <item x="212"/>
        <item x="57"/>
        <item x="219"/>
        <item x="103"/>
        <item x="124"/>
        <item x="33"/>
        <item x="226"/>
        <item x="178"/>
        <item x="110"/>
        <item x="249"/>
        <item x="128"/>
        <item x="102"/>
        <item x="169"/>
        <item x="185"/>
        <item x="4"/>
        <item x="7"/>
        <item x="118"/>
        <item x="154"/>
        <item x="205"/>
        <item x="209"/>
        <item x="157"/>
        <item x="80"/>
        <item x="10"/>
        <item x="229"/>
        <item x="40"/>
        <item x="49"/>
        <item x="133"/>
        <item x="230"/>
        <item x="256"/>
        <item x="87"/>
        <item x="198"/>
        <item x="54"/>
        <item x="1"/>
        <item x="182"/>
        <item x="161"/>
        <item x="32"/>
        <item x="112"/>
        <item x="211"/>
        <item x="41"/>
        <item x="190"/>
        <item x="77"/>
        <item x="2"/>
        <item x="164"/>
        <item x="99"/>
        <item x="83"/>
        <item x="53"/>
        <item x="217"/>
        <item x="55"/>
        <item x="52"/>
        <item x="231"/>
        <item x="121"/>
        <item x="214"/>
        <item x="65"/>
        <item x="137"/>
        <item x="16"/>
        <item x="186"/>
        <item x="148"/>
        <item x="216"/>
        <item x="232"/>
        <item x="165"/>
        <item x="120"/>
        <item x="76"/>
        <item x="36"/>
        <item x="245"/>
        <item x="153"/>
        <item x="213"/>
        <item x="238"/>
        <item x="26"/>
        <item x="203"/>
        <item x="104"/>
        <item x="146"/>
        <item x="187"/>
        <item x="62"/>
        <item x="158"/>
        <item x="93"/>
        <item x="236"/>
        <item x="127"/>
        <item x="125"/>
        <item x="122"/>
        <item x="61"/>
        <item x="134"/>
        <item x="29"/>
        <item x="23"/>
        <item x="45"/>
        <item x="253"/>
        <item x="91"/>
        <item x="142"/>
        <item x="171"/>
        <item x="166"/>
        <item x="109"/>
        <item x="179"/>
        <item x="38"/>
        <item x="220"/>
        <item x="144"/>
        <item x="24"/>
        <item x="149"/>
        <item x="248"/>
        <item x="11"/>
        <item x="75"/>
        <item x="51"/>
        <item x="259"/>
        <item x="233"/>
        <item x="98"/>
        <item x="43"/>
        <item x="46"/>
        <item x="246"/>
        <item x="225"/>
        <item x="67"/>
        <item x="56"/>
        <item x="143"/>
        <item x="42"/>
        <item x="58"/>
        <item x="235"/>
        <item x="0"/>
        <item x="95"/>
        <item x="9"/>
        <item x="86"/>
        <item x="170"/>
        <item x="21"/>
        <item x="44"/>
        <item x="204"/>
        <item x="192"/>
        <item x="159"/>
        <item x="199"/>
        <item x="106"/>
        <item x="108"/>
        <item x="6"/>
        <item x="90"/>
        <item x="195"/>
        <item x="89"/>
        <item x="130"/>
        <item x="173"/>
        <item t="default"/>
      </items>
    </pivotField>
    <pivotField showAll="0"/>
    <pivotField showAll="0"/>
    <pivotField showAll="0">
      <items count="4">
        <item x="2"/>
        <item x="0"/>
        <item x="1"/>
        <item t="default"/>
      </items>
    </pivotField>
    <pivotField showAll="0">
      <items count="11">
        <item x="9"/>
        <item x="2"/>
        <item x="7"/>
        <item x="1"/>
        <item x="3"/>
        <item x="4"/>
        <item x="8"/>
        <item x="0"/>
        <item x="5"/>
        <item x="6"/>
        <item t="default"/>
      </items>
    </pivotField>
    <pivotField showAll="0"/>
    <pivotField showAll="0">
      <items count="4">
        <item x="1"/>
        <item x="0"/>
        <item x="2"/>
        <item t="default"/>
      </items>
    </pivotField>
    <pivotField axis="axisRow" showAll="0" sortType="descending">
      <items count="6">
        <item x="2"/>
        <item x="0"/>
        <item x="3"/>
        <item x="1"/>
        <item x="4"/>
        <item t="default"/>
      </items>
      <autoSortScope>
        <pivotArea dataOnly="0" outline="0" fieldPosition="0">
          <references count="1">
            <reference field="4294967294" count="1" selected="0">
              <x v="0"/>
            </reference>
          </references>
        </pivotArea>
      </autoSortScope>
    </pivotField>
    <pivotField showAll="0"/>
    <pivotField numFmtId="4" showAll="0"/>
    <pivotField dataField="1" numFmtId="4"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6">
    <i>
      <x v="3"/>
    </i>
    <i>
      <x/>
    </i>
    <i>
      <x v="1"/>
    </i>
    <i>
      <x v="2"/>
    </i>
    <i>
      <x v="4"/>
    </i>
    <i t="grand">
      <x/>
    </i>
  </rowItems>
  <colItems count="1">
    <i/>
  </colItems>
  <dataFields count="1">
    <dataField name="Sum of Total Sales" fld="11" baseField="0" baseItem="0" numFmtId="167"/>
  </dataFields>
  <formats count="1">
    <format dxfId="48">
      <pivotArea outline="0" collapsedLevelsAreSubtotals="1" fieldPosition="0"/>
    </format>
  </formats>
  <chartFormats count="7">
    <chartFormat chart="2" format="0" series="1">
      <pivotArea type="data" outline="0" fieldPosition="0">
        <references count="1">
          <reference field="4294967294" count="1" selected="0">
            <x v="0"/>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8" count="1" selected="0">
            <x v="3"/>
          </reference>
        </references>
      </pivotArea>
    </chartFormat>
    <chartFormat chart="8" format="16">
      <pivotArea type="data" outline="0" fieldPosition="0">
        <references count="2">
          <reference field="4294967294" count="1" selected="0">
            <x v="0"/>
          </reference>
          <reference field="8" count="1" selected="0">
            <x v="0"/>
          </reference>
        </references>
      </pivotArea>
    </chartFormat>
    <chartFormat chart="8" format="17">
      <pivotArea type="data" outline="0" fieldPosition="0">
        <references count="2">
          <reference field="4294967294" count="1" selected="0">
            <x v="0"/>
          </reference>
          <reference field="8" count="1" selected="0">
            <x v="1"/>
          </reference>
        </references>
      </pivotArea>
    </chartFormat>
    <chartFormat chart="8" format="18">
      <pivotArea type="data" outline="0" fieldPosition="0">
        <references count="2">
          <reference field="4294967294" count="1" selected="0">
            <x v="0"/>
          </reference>
          <reference field="8" count="1" selected="0">
            <x v="2"/>
          </reference>
        </references>
      </pivotArea>
    </chartFormat>
    <chartFormat chart="8" format="19">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B3028815-1E6F-4A35-95FE-5D5DA2464B3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7:B71" firstHeaderRow="1" firstDataRow="1" firstDataCol="1"/>
  <pivotFields count="14">
    <pivotField showAll="0"/>
    <pivotField numFmtId="164" showAll="0">
      <items count="261">
        <item x="247"/>
        <item x="176"/>
        <item x="31"/>
        <item x="242"/>
        <item x="227"/>
        <item x="73"/>
        <item x="50"/>
        <item x="84"/>
        <item x="239"/>
        <item x="255"/>
        <item x="97"/>
        <item x="18"/>
        <item x="79"/>
        <item x="151"/>
        <item x="244"/>
        <item x="129"/>
        <item x="116"/>
        <item x="92"/>
        <item x="208"/>
        <item x="218"/>
        <item x="105"/>
        <item x="20"/>
        <item x="163"/>
        <item x="22"/>
        <item x="145"/>
        <item x="126"/>
        <item x="132"/>
        <item x="25"/>
        <item x="28"/>
        <item x="27"/>
        <item x="167"/>
        <item x="251"/>
        <item x="69"/>
        <item x="114"/>
        <item x="183"/>
        <item x="175"/>
        <item x="184"/>
        <item x="210"/>
        <item x="63"/>
        <item x="174"/>
        <item x="257"/>
        <item x="35"/>
        <item x="123"/>
        <item x="15"/>
        <item x="12"/>
        <item x="224"/>
        <item x="140"/>
        <item x="17"/>
        <item x="64"/>
        <item x="138"/>
        <item x="223"/>
        <item x="152"/>
        <item x="131"/>
        <item x="115"/>
        <item x="201"/>
        <item x="206"/>
        <item x="160"/>
        <item x="81"/>
        <item x="119"/>
        <item x="196"/>
        <item x="191"/>
        <item x="14"/>
        <item x="193"/>
        <item x="188"/>
        <item x="221"/>
        <item x="250"/>
        <item x="135"/>
        <item x="240"/>
        <item x="228"/>
        <item x="96"/>
        <item x="34"/>
        <item x="168"/>
        <item x="177"/>
        <item x="243"/>
        <item x="139"/>
        <item x="147"/>
        <item x="181"/>
        <item x="197"/>
        <item x="180"/>
        <item x="150"/>
        <item x="156"/>
        <item x="241"/>
        <item x="258"/>
        <item x="100"/>
        <item x="60"/>
        <item x="207"/>
        <item x="5"/>
        <item x="78"/>
        <item x="155"/>
        <item x="117"/>
        <item x="82"/>
        <item x="19"/>
        <item x="202"/>
        <item x="47"/>
        <item x="71"/>
        <item x="237"/>
        <item x="88"/>
        <item x="59"/>
        <item x="254"/>
        <item x="13"/>
        <item x="37"/>
        <item x="194"/>
        <item x="200"/>
        <item x="189"/>
        <item x="252"/>
        <item x="94"/>
        <item x="85"/>
        <item x="72"/>
        <item x="107"/>
        <item x="74"/>
        <item x="234"/>
        <item x="39"/>
        <item x="162"/>
        <item x="136"/>
        <item x="66"/>
        <item x="222"/>
        <item x="68"/>
        <item x="101"/>
        <item x="8"/>
        <item x="141"/>
        <item x="111"/>
        <item x="172"/>
        <item x="70"/>
        <item x="215"/>
        <item x="113"/>
        <item x="48"/>
        <item x="3"/>
        <item x="30"/>
        <item x="212"/>
        <item x="57"/>
        <item x="219"/>
        <item x="103"/>
        <item x="124"/>
        <item x="33"/>
        <item x="226"/>
        <item x="178"/>
        <item x="110"/>
        <item x="249"/>
        <item x="128"/>
        <item x="102"/>
        <item x="169"/>
        <item x="185"/>
        <item x="4"/>
        <item x="7"/>
        <item x="118"/>
        <item x="154"/>
        <item x="205"/>
        <item x="209"/>
        <item x="157"/>
        <item x="80"/>
        <item x="10"/>
        <item x="229"/>
        <item x="40"/>
        <item x="49"/>
        <item x="133"/>
        <item x="230"/>
        <item x="256"/>
        <item x="87"/>
        <item x="198"/>
        <item x="54"/>
        <item x="1"/>
        <item x="182"/>
        <item x="161"/>
        <item x="32"/>
        <item x="112"/>
        <item x="211"/>
        <item x="41"/>
        <item x="190"/>
        <item x="77"/>
        <item x="2"/>
        <item x="164"/>
        <item x="99"/>
        <item x="83"/>
        <item x="53"/>
        <item x="217"/>
        <item x="55"/>
        <item x="52"/>
        <item x="231"/>
        <item x="121"/>
        <item x="214"/>
        <item x="65"/>
        <item x="137"/>
        <item x="16"/>
        <item x="186"/>
        <item x="148"/>
        <item x="216"/>
        <item x="232"/>
        <item x="165"/>
        <item x="120"/>
        <item x="76"/>
        <item x="36"/>
        <item x="245"/>
        <item x="153"/>
        <item x="213"/>
        <item x="238"/>
        <item x="26"/>
        <item x="203"/>
        <item x="104"/>
        <item x="146"/>
        <item x="187"/>
        <item x="62"/>
        <item x="158"/>
        <item x="93"/>
        <item x="236"/>
        <item x="127"/>
        <item x="125"/>
        <item x="122"/>
        <item x="61"/>
        <item x="134"/>
        <item x="29"/>
        <item x="23"/>
        <item x="45"/>
        <item x="253"/>
        <item x="91"/>
        <item x="142"/>
        <item x="171"/>
        <item x="166"/>
        <item x="109"/>
        <item x="179"/>
        <item x="38"/>
        <item x="220"/>
        <item x="144"/>
        <item x="24"/>
        <item x="149"/>
        <item x="248"/>
        <item x="11"/>
        <item x="75"/>
        <item x="51"/>
        <item x="259"/>
        <item x="233"/>
        <item x="98"/>
        <item x="43"/>
        <item x="46"/>
        <item x="246"/>
        <item x="225"/>
        <item x="67"/>
        <item x="56"/>
        <item x="143"/>
        <item x="42"/>
        <item x="58"/>
        <item x="235"/>
        <item x="0"/>
        <item x="95"/>
        <item x="9"/>
        <item x="86"/>
        <item x="170"/>
        <item x="21"/>
        <item x="44"/>
        <item x="204"/>
        <item x="192"/>
        <item x="159"/>
        <item x="199"/>
        <item x="106"/>
        <item x="108"/>
        <item x="6"/>
        <item x="90"/>
        <item x="195"/>
        <item x="89"/>
        <item x="130"/>
        <item x="173"/>
        <item t="default"/>
      </items>
    </pivotField>
    <pivotField showAll="0"/>
    <pivotField showAll="0"/>
    <pivotField showAll="0">
      <items count="4">
        <item x="2"/>
        <item x="0"/>
        <item x="1"/>
        <item t="default"/>
      </items>
    </pivotField>
    <pivotField showAll="0"/>
    <pivotField showAll="0">
      <items count="5">
        <item x="2"/>
        <item x="0"/>
        <item x="1"/>
        <item x="3"/>
        <item t="default"/>
      </items>
    </pivotField>
    <pivotField axis="axisRow" showAll="0">
      <items count="4">
        <item x="1"/>
        <item x="0"/>
        <item x="2"/>
        <item t="default"/>
      </items>
    </pivotField>
    <pivotField showAll="0">
      <items count="6">
        <item x="2"/>
        <item x="0"/>
        <item x="3"/>
        <item x="1"/>
        <item x="4"/>
        <item t="default"/>
      </items>
    </pivotField>
    <pivotField showAll="0"/>
    <pivotField numFmtId="4" showAll="0"/>
    <pivotField dataField="1" numFmtId="4"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4">
    <i>
      <x/>
    </i>
    <i>
      <x v="1"/>
    </i>
    <i>
      <x v="2"/>
    </i>
    <i t="grand">
      <x/>
    </i>
  </rowItems>
  <colItems count="1">
    <i/>
  </colItems>
  <dataFields count="1">
    <dataField name="Sum of Total Sales" fld="11" showDataAs="percentOfTotal" baseField="7"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2"/>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7" count="1" selected="0">
            <x v="0"/>
          </reference>
        </references>
      </pivotArea>
    </chartFormat>
    <chartFormat chart="5" format="18">
      <pivotArea type="data" outline="0" fieldPosition="0">
        <references count="2">
          <reference field="4294967294" count="1" selected="0">
            <x v="0"/>
          </reference>
          <reference field="7" count="1" selected="0">
            <x v="1"/>
          </reference>
        </references>
      </pivotArea>
    </chartFormat>
    <chartFormat chart="5" format="19">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581FDDBA-9533-438C-A7C1-74B69709CF8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1:A122" firstHeaderRow="1" firstDataRow="1" firstDataCol="0"/>
  <pivotFields count="14">
    <pivotField dataField="1" showAll="0"/>
    <pivotField numFmtId="164" showAll="0">
      <items count="261">
        <item x="247"/>
        <item x="176"/>
        <item x="31"/>
        <item x="242"/>
        <item x="227"/>
        <item x="73"/>
        <item x="50"/>
        <item x="84"/>
        <item x="239"/>
        <item x="255"/>
        <item x="97"/>
        <item x="18"/>
        <item x="79"/>
        <item x="151"/>
        <item x="244"/>
        <item x="129"/>
        <item x="116"/>
        <item x="92"/>
        <item x="208"/>
        <item x="218"/>
        <item x="105"/>
        <item x="20"/>
        <item x="163"/>
        <item x="22"/>
        <item x="145"/>
        <item x="126"/>
        <item x="132"/>
        <item x="25"/>
        <item x="28"/>
        <item x="27"/>
        <item x="167"/>
        <item x="251"/>
        <item x="69"/>
        <item x="114"/>
        <item x="183"/>
        <item x="175"/>
        <item x="184"/>
        <item x="210"/>
        <item x="63"/>
        <item x="174"/>
        <item x="257"/>
        <item x="35"/>
        <item x="123"/>
        <item x="15"/>
        <item x="12"/>
        <item x="224"/>
        <item x="140"/>
        <item x="17"/>
        <item x="64"/>
        <item x="138"/>
        <item x="223"/>
        <item x="152"/>
        <item x="131"/>
        <item x="115"/>
        <item x="201"/>
        <item x="206"/>
        <item x="160"/>
        <item x="81"/>
        <item x="119"/>
        <item x="196"/>
        <item x="191"/>
        <item x="14"/>
        <item x="193"/>
        <item x="188"/>
        <item x="221"/>
        <item x="250"/>
        <item x="135"/>
        <item x="240"/>
        <item x="228"/>
        <item x="96"/>
        <item x="34"/>
        <item x="168"/>
        <item x="177"/>
        <item x="243"/>
        <item x="139"/>
        <item x="147"/>
        <item x="181"/>
        <item x="197"/>
        <item x="180"/>
        <item x="150"/>
        <item x="156"/>
        <item x="241"/>
        <item x="258"/>
        <item x="100"/>
        <item x="60"/>
        <item x="207"/>
        <item x="5"/>
        <item x="78"/>
        <item x="155"/>
        <item x="117"/>
        <item x="82"/>
        <item x="19"/>
        <item x="202"/>
        <item x="47"/>
        <item x="71"/>
        <item x="237"/>
        <item x="88"/>
        <item x="59"/>
        <item x="254"/>
        <item x="13"/>
        <item x="37"/>
        <item x="194"/>
        <item x="200"/>
        <item x="189"/>
        <item x="252"/>
        <item x="94"/>
        <item x="85"/>
        <item x="72"/>
        <item x="107"/>
        <item x="74"/>
        <item x="234"/>
        <item x="39"/>
        <item x="162"/>
        <item x="136"/>
        <item x="66"/>
        <item x="222"/>
        <item x="68"/>
        <item x="101"/>
        <item x="8"/>
        <item x="141"/>
        <item x="111"/>
        <item x="172"/>
        <item x="70"/>
        <item x="215"/>
        <item x="113"/>
        <item x="48"/>
        <item x="3"/>
        <item x="30"/>
        <item x="212"/>
        <item x="57"/>
        <item x="219"/>
        <item x="103"/>
        <item x="124"/>
        <item x="33"/>
        <item x="226"/>
        <item x="178"/>
        <item x="110"/>
        <item x="249"/>
        <item x="128"/>
        <item x="102"/>
        <item x="169"/>
        <item x="185"/>
        <item x="4"/>
        <item x="7"/>
        <item x="118"/>
        <item x="154"/>
        <item x="205"/>
        <item x="209"/>
        <item x="157"/>
        <item x="80"/>
        <item x="10"/>
        <item x="229"/>
        <item x="40"/>
        <item x="49"/>
        <item x="133"/>
        <item x="230"/>
        <item x="256"/>
        <item x="87"/>
        <item x="198"/>
        <item x="54"/>
        <item x="1"/>
        <item x="182"/>
        <item x="161"/>
        <item x="32"/>
        <item x="112"/>
        <item x="211"/>
        <item x="41"/>
        <item x="190"/>
        <item x="77"/>
        <item x="2"/>
        <item x="164"/>
        <item x="99"/>
        <item x="83"/>
        <item x="53"/>
        <item x="217"/>
        <item x="55"/>
        <item x="52"/>
        <item x="231"/>
        <item x="121"/>
        <item x="214"/>
        <item x="65"/>
        <item x="137"/>
        <item x="16"/>
        <item x="186"/>
        <item x="148"/>
        <item x="216"/>
        <item x="232"/>
        <item x="165"/>
        <item x="120"/>
        <item x="76"/>
        <item x="36"/>
        <item x="245"/>
        <item x="153"/>
        <item x="213"/>
        <item x="238"/>
        <item x="26"/>
        <item x="203"/>
        <item x="104"/>
        <item x="146"/>
        <item x="187"/>
        <item x="62"/>
        <item x="158"/>
        <item x="93"/>
        <item x="236"/>
        <item x="127"/>
        <item x="125"/>
        <item x="122"/>
        <item x="61"/>
        <item x="134"/>
        <item x="29"/>
        <item x="23"/>
        <item x="45"/>
        <item x="253"/>
        <item x="91"/>
        <item x="142"/>
        <item x="171"/>
        <item x="166"/>
        <item x="109"/>
        <item x="179"/>
        <item x="38"/>
        <item x="220"/>
        <item x="144"/>
        <item x="24"/>
        <item x="149"/>
        <item x="248"/>
        <item x="11"/>
        <item x="75"/>
        <item x="51"/>
        <item x="259"/>
        <item x="233"/>
        <item x="98"/>
        <item x="43"/>
        <item x="46"/>
        <item x="246"/>
        <item x="225"/>
        <item x="67"/>
        <item x="56"/>
        <item x="143"/>
        <item x="42"/>
        <item x="58"/>
        <item x="235"/>
        <item x="0"/>
        <item x="95"/>
        <item x="9"/>
        <item x="86"/>
        <item x="170"/>
        <item x="21"/>
        <item x="44"/>
        <item x="204"/>
        <item x="192"/>
        <item x="159"/>
        <item x="199"/>
        <item x="106"/>
        <item x="108"/>
        <item x="6"/>
        <item x="90"/>
        <item x="195"/>
        <item x="89"/>
        <item x="130"/>
        <item x="173"/>
        <item t="default"/>
      </items>
    </pivotField>
    <pivotField showAll="0"/>
    <pivotField showAll="0"/>
    <pivotField showAll="0">
      <items count="4">
        <item x="2"/>
        <item x="0"/>
        <item x="1"/>
        <item t="default"/>
      </items>
    </pivotField>
    <pivotField showAll="0"/>
    <pivotField showAll="0"/>
    <pivotField showAll="0">
      <items count="4">
        <item x="1"/>
        <item x="0"/>
        <item x="2"/>
        <item t="default"/>
      </items>
    </pivotField>
    <pivotField showAll="0">
      <items count="6">
        <item x="2"/>
        <item x="0"/>
        <item x="3"/>
        <item x="1"/>
        <item x="4"/>
        <item t="default"/>
      </items>
    </pivotField>
    <pivotField showAll="0"/>
    <pivotField numFmtId="4" showAll="0"/>
    <pivotField numFmtId="4"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30081A1A-9D41-4454-9A36-F0DE4221C777}" sourceName="Customer_Segment">
  <pivotTables>
    <pivotTable tabId="2" name="PivotTable2"/>
    <pivotTable tabId="2" name="PivotTable1"/>
    <pivotTable tabId="2" name="PivotTable12"/>
    <pivotTable tabId="2" name="PivotTable13"/>
    <pivotTable tabId="2" name="PivotTable3"/>
    <pivotTable tabId="2" name="PivotTable4"/>
    <pivotTable tabId="2" name="PivotTable5"/>
    <pivotTable tabId="2" name="PivotTable6"/>
    <pivotTable tabId="2" name="PivotTable7"/>
    <pivotTable tabId="2" name="PivotTable8"/>
  </pivotTables>
  <data>
    <tabular pivotCacheId="169451802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50E75EBE-093E-4111-8D74-4C62E3702D33}" sourceName="Payment_Mode">
  <pivotTables>
    <pivotTable tabId="2" name="PivotTable2"/>
    <pivotTable tabId="2" name="PivotTable1"/>
    <pivotTable tabId="2" name="PivotTable12"/>
    <pivotTable tabId="2" name="PivotTable13"/>
    <pivotTable tabId="2" name="PivotTable3"/>
    <pivotTable tabId="2" name="PivotTable4"/>
    <pivotTable tabId="2" name="PivotTable5"/>
    <pivotTable tabId="2" name="PivotTable6"/>
    <pivotTable tabId="2" name="PivotTable7"/>
    <pivotTable tabId="2" name="PivotTable8"/>
  </pivotTables>
  <data>
    <tabular pivotCacheId="1694518023">
      <items count="5">
        <i x="2" s="1"/>
        <i x="0" s="1"/>
        <i x="3"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066FADED-34B9-41AB-92C8-9224E1A63CD2}" sourceName="Sales_Channel">
  <pivotTables>
    <pivotTable tabId="2" name="PivotTable2"/>
    <pivotTable tabId="2" name="PivotTable1"/>
    <pivotTable tabId="2" name="PivotTable12"/>
    <pivotTable tabId="2" name="PivotTable13"/>
    <pivotTable tabId="2" name="PivotTable3"/>
    <pivotTable tabId="2" name="PivotTable4"/>
    <pivotTable tabId="2" name="PivotTable6"/>
    <pivotTable tabId="2" name="PivotTable7"/>
    <pivotTable tabId="2" name="PivotTable8"/>
  </pivotTables>
  <data>
    <tabular pivotCacheId="169451802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1" xr10:uid="{C6675629-F6E8-41D1-BD54-61345AEAA3E4}" cache="Slicer_Customer_Segment" caption="Customer_Segment" style="Slicer Style 1" rowHeight="234950"/>
  <slicer name="Payment_Mode 1" xr10:uid="{795B7A4D-9B24-4816-9502-8238A6DABCC8}" cache="Slicer_Payment_Mode" caption="Payment_Mode" style="Slicer Style 1" rowHeight="234950"/>
  <slicer name="Sales_Channel 1" xr10:uid="{8FF036D7-643A-4F83-B658-4B548B96B3E3}" cache="Slicer_Sales_Channel" caption="Sales_Channel"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01DAED-AC2B-4A91-BAF8-E799146474AD}" name="tblBelgaumOrders" displayName="tblBelgaumOrders" ref="A1:L501">
  <autoFilter ref="A1:L501" xr:uid="{9201DAED-AC2B-4A91-BAF8-E799146474AD}"/>
  <tableColumns count="12">
    <tableColumn id="1" xr3:uid="{D9B2892D-9B28-4F42-9A0E-011BD5AEFD7B}" name="Order_ID"/>
    <tableColumn id="2" xr3:uid="{4FD8AAC8-29B2-4BA6-8DA8-0CC05DD08DBA}" name="Order_Date"/>
    <tableColumn id="12" xr3:uid="{A81971EB-31EF-4330-B494-BA126254993F}" name="Month" dataDxfId="121">
      <calculatedColumnFormula>TEXT(tblBelgaumOrders[[#This Row],[Order_Date]],"mmm")</calculatedColumnFormula>
    </tableColumn>
    <tableColumn id="3" xr3:uid="{F5EB8BE8-BC9E-4ABD-A1D7-4D3AAD8AE043}" name="Locality"/>
    <tableColumn id="4" xr3:uid="{D53E0DA9-5053-42AF-8B65-B3465BFAEBD1}" name="Customer_Segment"/>
    <tableColumn id="5" xr3:uid="{EB222EF8-DE81-411C-B497-FBC0278583B4}" name="Product_Category"/>
    <tableColumn id="6" xr3:uid="{BBB41B54-D469-4192-B2EE-81E281FB287E}" name="Order_Status"/>
    <tableColumn id="7" xr3:uid="{E28EC244-8182-4240-9223-7AC613E6925F}" name="Sales_Channel"/>
    <tableColumn id="8" xr3:uid="{247CFFBF-232F-4C19-BFE6-2C332B6BE6F8}" name="Payment_Mode"/>
    <tableColumn id="9" xr3:uid="{074F3986-CAE9-413B-AC4B-DCBEB8DC7FD5}" name="Quantity"/>
    <tableColumn id="10" xr3:uid="{F307B174-57E3-4FC9-84D1-B3536EA09EF6}" name="Order_Amount"/>
    <tableColumn id="11" xr3:uid="{C9001BCC-B792-47F2-8CC1-73B19D7192DE}" name="Total Sales" dataDxfId="120">
      <calculatedColumnFormula>tblBelgaumOrders[[#This Row],[Quantity]]*tblBelgaumOrders[[#This Row],[Order_Amount]]</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8.xml"/><Relationship Id="rId3" Type="http://schemas.openxmlformats.org/officeDocument/2006/relationships/pivotTable" Target="../pivotTables/pivotTable23.xml"/><Relationship Id="rId7" Type="http://schemas.openxmlformats.org/officeDocument/2006/relationships/pivotTable" Target="../pivotTables/pivotTable27.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pivotTable" Target="../pivotTables/pivotTable26.xml"/><Relationship Id="rId11" Type="http://schemas.openxmlformats.org/officeDocument/2006/relationships/drawing" Target="../drawings/drawing1.xml"/><Relationship Id="rId5" Type="http://schemas.openxmlformats.org/officeDocument/2006/relationships/pivotTable" Target="../pivotTables/pivotTable25.xml"/><Relationship Id="rId10" Type="http://schemas.openxmlformats.org/officeDocument/2006/relationships/pivotTable" Target="../pivotTables/pivotTable30.xml"/><Relationship Id="rId4" Type="http://schemas.openxmlformats.org/officeDocument/2006/relationships/pivotTable" Target="../pivotTables/pivotTable24.xml"/><Relationship Id="rId9" Type="http://schemas.openxmlformats.org/officeDocument/2006/relationships/pivotTable" Target="../pivotTables/pivotTable2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684AA-B334-4EB5-AC35-407652573278}">
  <dimension ref="A1:L501"/>
  <sheetViews>
    <sheetView workbookViewId="0">
      <pane ySplit="1" topLeftCell="A2" activePane="bottomLeft" state="frozen"/>
      <selection pane="bottomLeft" activeCell="O46" sqref="O46"/>
    </sheetView>
  </sheetViews>
  <sheetFormatPr defaultRowHeight="14.4" x14ac:dyDescent="0.3"/>
  <cols>
    <col min="1" max="3" width="12" customWidth="1"/>
    <col min="4" max="4" width="16" customWidth="1"/>
    <col min="5" max="6" width="18" customWidth="1"/>
    <col min="7" max="7" width="14" customWidth="1"/>
    <col min="8" max="8" width="12" customWidth="1"/>
    <col min="9" max="9" width="13" customWidth="1"/>
    <col min="10" max="10" width="10" customWidth="1"/>
    <col min="11" max="12" width="13" customWidth="1"/>
  </cols>
  <sheetData>
    <row r="1" spans="1:12" x14ac:dyDescent="0.3">
      <c r="A1" s="1" t="s">
        <v>543</v>
      </c>
      <c r="B1" s="1" t="s">
        <v>544</v>
      </c>
      <c r="C1" s="4" t="s">
        <v>554</v>
      </c>
      <c r="D1" s="1" t="s">
        <v>545</v>
      </c>
      <c r="E1" s="1" t="s">
        <v>546</v>
      </c>
      <c r="F1" s="1" t="s">
        <v>547</v>
      </c>
      <c r="G1" s="1" t="s">
        <v>548</v>
      </c>
      <c r="H1" s="1" t="s">
        <v>549</v>
      </c>
      <c r="I1" s="1" t="s">
        <v>550</v>
      </c>
      <c r="J1" s="1" t="s">
        <v>551</v>
      </c>
      <c r="K1" s="1" t="s">
        <v>552</v>
      </c>
      <c r="L1" s="1" t="s">
        <v>553</v>
      </c>
    </row>
    <row r="2" spans="1:12" x14ac:dyDescent="0.3">
      <c r="A2" t="s">
        <v>0</v>
      </c>
      <c r="B2" s="2">
        <v>45985</v>
      </c>
      <c r="C2" s="2" t="str">
        <f>TEXT(tblBelgaumOrders[[#This Row],[Order_Date]],"mmm")</f>
        <v>Nov</v>
      </c>
      <c r="D2" t="s">
        <v>1</v>
      </c>
      <c r="E2" t="s">
        <v>2</v>
      </c>
      <c r="F2" t="s">
        <v>3</v>
      </c>
      <c r="G2" t="s">
        <v>4</v>
      </c>
      <c r="H2" t="s">
        <v>5</v>
      </c>
      <c r="I2" t="s">
        <v>6</v>
      </c>
      <c r="J2">
        <v>9</v>
      </c>
      <c r="K2" s="3">
        <v>1877.06</v>
      </c>
      <c r="L2" s="3">
        <f>tblBelgaumOrders[[#This Row],[Quantity]]*tblBelgaumOrders[[#This Row],[Order_Amount]]</f>
        <v>16893.54</v>
      </c>
    </row>
    <row r="3" spans="1:12" x14ac:dyDescent="0.3">
      <c r="A3" t="s">
        <v>7</v>
      </c>
      <c r="B3" s="2">
        <v>45874</v>
      </c>
      <c r="C3" s="2" t="str">
        <f>TEXT(tblBelgaumOrders[[#This Row],[Order_Date]],"mmm")</f>
        <v>Aug</v>
      </c>
      <c r="D3" t="s">
        <v>8</v>
      </c>
      <c r="E3" t="s">
        <v>2</v>
      </c>
      <c r="F3" t="s">
        <v>9</v>
      </c>
      <c r="G3" t="s">
        <v>4</v>
      </c>
      <c r="H3" t="s">
        <v>10</v>
      </c>
      <c r="I3" t="s">
        <v>11</v>
      </c>
      <c r="J3">
        <v>9</v>
      </c>
      <c r="K3" s="3">
        <v>1622.77</v>
      </c>
      <c r="L3" s="3">
        <f>tblBelgaumOrders[[#This Row],[Quantity]]*tblBelgaumOrders[[#This Row],[Order_Amount]]</f>
        <v>14604.93</v>
      </c>
    </row>
    <row r="4" spans="1:12" x14ac:dyDescent="0.3">
      <c r="A4" t="s">
        <v>12</v>
      </c>
      <c r="B4" s="2">
        <v>45887</v>
      </c>
      <c r="C4" s="2" t="str">
        <f>TEXT(tblBelgaumOrders[[#This Row],[Order_Date]],"mmm")</f>
        <v>Aug</v>
      </c>
      <c r="D4" t="s">
        <v>13</v>
      </c>
      <c r="E4" t="s">
        <v>14</v>
      </c>
      <c r="F4" t="s">
        <v>9</v>
      </c>
      <c r="G4" t="s">
        <v>15</v>
      </c>
      <c r="H4" t="s">
        <v>5</v>
      </c>
      <c r="I4" t="s">
        <v>11</v>
      </c>
      <c r="J4">
        <v>10</v>
      </c>
      <c r="K4" s="3">
        <v>1582.54</v>
      </c>
      <c r="L4" s="3">
        <f>tblBelgaumOrders[[#This Row],[Quantity]]*tblBelgaumOrders[[#This Row],[Order_Amount]]</f>
        <v>15825.4</v>
      </c>
    </row>
    <row r="5" spans="1:12" x14ac:dyDescent="0.3">
      <c r="A5" t="s">
        <v>16</v>
      </c>
      <c r="B5" s="2">
        <v>45830</v>
      </c>
      <c r="C5" s="2" t="str">
        <f>TEXT(tblBelgaumOrders[[#This Row],[Order_Date]],"mmm")</f>
        <v>Jun</v>
      </c>
      <c r="D5" t="s">
        <v>1</v>
      </c>
      <c r="E5" t="s">
        <v>2</v>
      </c>
      <c r="F5" t="s">
        <v>9</v>
      </c>
      <c r="G5" t="s">
        <v>17</v>
      </c>
      <c r="H5" t="s">
        <v>5</v>
      </c>
      <c r="I5" t="s">
        <v>18</v>
      </c>
      <c r="J5">
        <v>8</v>
      </c>
      <c r="K5" s="3">
        <v>0</v>
      </c>
      <c r="L5" s="3">
        <f>tblBelgaumOrders[[#This Row],[Quantity]]*tblBelgaumOrders[[#This Row],[Order_Amount]]</f>
        <v>0</v>
      </c>
    </row>
    <row r="6" spans="1:12" x14ac:dyDescent="0.3">
      <c r="A6" t="s">
        <v>19</v>
      </c>
      <c r="B6" s="2">
        <v>45851</v>
      </c>
      <c r="C6" s="2" t="str">
        <f>TEXT(tblBelgaumOrders[[#This Row],[Order_Date]],"mmm")</f>
        <v>Jul</v>
      </c>
      <c r="D6" t="s">
        <v>20</v>
      </c>
      <c r="E6" t="s">
        <v>2</v>
      </c>
      <c r="F6" t="s">
        <v>21</v>
      </c>
      <c r="G6" t="s">
        <v>4</v>
      </c>
      <c r="H6" t="s">
        <v>5</v>
      </c>
      <c r="I6" t="s">
        <v>6</v>
      </c>
      <c r="J6">
        <v>2</v>
      </c>
      <c r="K6" s="3">
        <v>186.6</v>
      </c>
      <c r="L6" s="3">
        <f>tblBelgaumOrders[[#This Row],[Quantity]]*tblBelgaumOrders[[#This Row],[Order_Amount]]</f>
        <v>373.2</v>
      </c>
    </row>
    <row r="7" spans="1:12" x14ac:dyDescent="0.3">
      <c r="A7" t="s">
        <v>22</v>
      </c>
      <c r="B7" s="2">
        <v>45774</v>
      </c>
      <c r="C7" s="2" t="str">
        <f>TEXT(tblBelgaumOrders[[#This Row],[Order_Date]],"mmm")</f>
        <v>Apr</v>
      </c>
      <c r="D7" t="s">
        <v>23</v>
      </c>
      <c r="E7" t="s">
        <v>24</v>
      </c>
      <c r="F7" t="s">
        <v>21</v>
      </c>
      <c r="G7" t="s">
        <v>17</v>
      </c>
      <c r="H7" t="s">
        <v>10</v>
      </c>
      <c r="I7" t="s">
        <v>11</v>
      </c>
      <c r="J7">
        <v>14</v>
      </c>
      <c r="K7" s="3">
        <v>0</v>
      </c>
      <c r="L7" s="3">
        <f>tblBelgaumOrders[[#This Row],[Quantity]]*tblBelgaumOrders[[#This Row],[Order_Amount]]</f>
        <v>0</v>
      </c>
    </row>
    <row r="8" spans="1:12" x14ac:dyDescent="0.3">
      <c r="A8" t="s">
        <v>25</v>
      </c>
      <c r="B8" s="2">
        <v>46001</v>
      </c>
      <c r="C8" s="2" t="str">
        <f>TEXT(tblBelgaumOrders[[#This Row],[Order_Date]],"mmm")</f>
        <v>Dec</v>
      </c>
      <c r="D8" t="s">
        <v>13</v>
      </c>
      <c r="E8" t="s">
        <v>14</v>
      </c>
      <c r="F8" t="s">
        <v>26</v>
      </c>
      <c r="G8" t="s">
        <v>4</v>
      </c>
      <c r="H8" t="s">
        <v>5</v>
      </c>
      <c r="I8" t="s">
        <v>6</v>
      </c>
      <c r="J8">
        <v>13</v>
      </c>
      <c r="K8" s="3">
        <v>5953.25</v>
      </c>
      <c r="L8" s="3">
        <f>tblBelgaumOrders[[#This Row],[Quantity]]*tblBelgaumOrders[[#This Row],[Order_Amount]]</f>
        <v>77392.25</v>
      </c>
    </row>
    <row r="9" spans="1:12" x14ac:dyDescent="0.3">
      <c r="A9" t="s">
        <v>27</v>
      </c>
      <c r="B9" s="2">
        <v>45852</v>
      </c>
      <c r="C9" s="2" t="str">
        <f>TEXT(tblBelgaumOrders[[#This Row],[Order_Date]],"mmm")</f>
        <v>Jul</v>
      </c>
      <c r="D9" t="s">
        <v>13</v>
      </c>
      <c r="E9" t="s">
        <v>24</v>
      </c>
      <c r="F9" t="s">
        <v>26</v>
      </c>
      <c r="G9" t="s">
        <v>4</v>
      </c>
      <c r="H9" t="s">
        <v>5</v>
      </c>
      <c r="I9" t="s">
        <v>18</v>
      </c>
      <c r="J9">
        <v>4</v>
      </c>
      <c r="K9" s="3">
        <v>2021.92</v>
      </c>
      <c r="L9" s="3">
        <f>tblBelgaumOrders[[#This Row],[Quantity]]*tblBelgaumOrders[[#This Row],[Order_Amount]]</f>
        <v>8087.68</v>
      </c>
    </row>
    <row r="10" spans="1:12" x14ac:dyDescent="0.3">
      <c r="A10" t="s">
        <v>28</v>
      </c>
      <c r="B10" s="2">
        <v>45819</v>
      </c>
      <c r="C10" s="2" t="str">
        <f>TEXT(tblBelgaumOrders[[#This Row],[Order_Date]],"mmm")</f>
        <v>Jun</v>
      </c>
      <c r="D10" t="s">
        <v>29</v>
      </c>
      <c r="E10" t="s">
        <v>2</v>
      </c>
      <c r="F10" t="s">
        <v>9</v>
      </c>
      <c r="G10" t="s">
        <v>30</v>
      </c>
      <c r="H10" t="s">
        <v>5</v>
      </c>
      <c r="I10" t="s">
        <v>11</v>
      </c>
      <c r="J10">
        <v>8</v>
      </c>
      <c r="K10" s="3">
        <v>1421.83</v>
      </c>
      <c r="L10" s="3">
        <f>tblBelgaumOrders[[#This Row],[Quantity]]*tblBelgaumOrders[[#This Row],[Order_Amount]]</f>
        <v>11374.64</v>
      </c>
    </row>
    <row r="11" spans="1:12" x14ac:dyDescent="0.3">
      <c r="A11" t="s">
        <v>31</v>
      </c>
      <c r="B11" s="2">
        <v>45987</v>
      </c>
      <c r="C11" s="2" t="str">
        <f>TEXT(tblBelgaumOrders[[#This Row],[Order_Date]],"mmm")</f>
        <v>Nov</v>
      </c>
      <c r="D11" t="s">
        <v>32</v>
      </c>
      <c r="E11" t="s">
        <v>2</v>
      </c>
      <c r="F11" t="s">
        <v>9</v>
      </c>
      <c r="G11" t="s">
        <v>15</v>
      </c>
      <c r="H11" t="s">
        <v>10</v>
      </c>
      <c r="I11" t="s">
        <v>18</v>
      </c>
      <c r="J11">
        <v>7</v>
      </c>
      <c r="K11" s="3">
        <v>1623.75</v>
      </c>
      <c r="L11" s="3">
        <f>tblBelgaumOrders[[#This Row],[Quantity]]*tblBelgaumOrders[[#This Row],[Order_Amount]]</f>
        <v>11366.25</v>
      </c>
    </row>
    <row r="12" spans="1:12" x14ac:dyDescent="0.3">
      <c r="A12" t="s">
        <v>33</v>
      </c>
      <c r="B12" s="2">
        <v>45862</v>
      </c>
      <c r="C12" s="2" t="str">
        <f>TEXT(tblBelgaumOrders[[#This Row],[Order_Date]],"mmm")</f>
        <v>Jul</v>
      </c>
      <c r="D12" t="s">
        <v>34</v>
      </c>
      <c r="E12" t="s">
        <v>2</v>
      </c>
      <c r="F12" t="s">
        <v>35</v>
      </c>
      <c r="G12" t="s">
        <v>4</v>
      </c>
      <c r="H12" t="s">
        <v>10</v>
      </c>
      <c r="I12" t="s">
        <v>11</v>
      </c>
      <c r="J12">
        <v>2</v>
      </c>
      <c r="K12" s="3">
        <v>5386.91</v>
      </c>
      <c r="L12" s="3">
        <f>tblBelgaumOrders[[#This Row],[Quantity]]*tblBelgaumOrders[[#This Row],[Order_Amount]]</f>
        <v>10773.82</v>
      </c>
    </row>
    <row r="13" spans="1:12" x14ac:dyDescent="0.3">
      <c r="A13" t="s">
        <v>36</v>
      </c>
      <c r="B13" s="2">
        <v>45963</v>
      </c>
      <c r="C13" s="2" t="str">
        <f>TEXT(tblBelgaumOrders[[#This Row],[Order_Date]],"mmm")</f>
        <v>Nov</v>
      </c>
      <c r="D13" t="s">
        <v>20</v>
      </c>
      <c r="E13" t="s">
        <v>2</v>
      </c>
      <c r="F13" t="s">
        <v>37</v>
      </c>
      <c r="G13" t="s">
        <v>4</v>
      </c>
      <c r="H13" t="s">
        <v>10</v>
      </c>
      <c r="I13" t="s">
        <v>6</v>
      </c>
      <c r="J13">
        <v>1</v>
      </c>
      <c r="K13" s="3">
        <v>254.8</v>
      </c>
      <c r="L13" s="3">
        <f>tblBelgaumOrders[[#This Row],[Quantity]]*tblBelgaumOrders[[#This Row],[Order_Amount]]</f>
        <v>254.8</v>
      </c>
    </row>
    <row r="14" spans="1:12" x14ac:dyDescent="0.3">
      <c r="A14" t="s">
        <v>38</v>
      </c>
      <c r="B14" s="2">
        <v>45716</v>
      </c>
      <c r="C14" s="2" t="str">
        <f>TEXT(tblBelgaumOrders[[#This Row],[Order_Date]],"mmm")</f>
        <v>Feb</v>
      </c>
      <c r="D14" t="s">
        <v>39</v>
      </c>
      <c r="E14" t="s">
        <v>14</v>
      </c>
      <c r="F14" t="s">
        <v>40</v>
      </c>
      <c r="G14" t="s">
        <v>4</v>
      </c>
      <c r="H14" t="s">
        <v>10</v>
      </c>
      <c r="I14" t="s">
        <v>11</v>
      </c>
      <c r="J14">
        <v>6</v>
      </c>
      <c r="K14" s="3">
        <v>1269.4000000000001</v>
      </c>
      <c r="L14" s="3">
        <f>tblBelgaumOrders[[#This Row],[Quantity]]*tblBelgaumOrders[[#This Row],[Order_Amount]]</f>
        <v>7616.4000000000005</v>
      </c>
    </row>
    <row r="15" spans="1:12" x14ac:dyDescent="0.3">
      <c r="A15" t="s">
        <v>41</v>
      </c>
      <c r="B15" s="2">
        <v>45792</v>
      </c>
      <c r="C15" s="2" t="str">
        <f>TEXT(tblBelgaumOrders[[#This Row],[Order_Date]],"mmm")</f>
        <v>May</v>
      </c>
      <c r="D15" t="s">
        <v>42</v>
      </c>
      <c r="E15" t="s">
        <v>14</v>
      </c>
      <c r="F15" t="s">
        <v>37</v>
      </c>
      <c r="G15" t="s">
        <v>4</v>
      </c>
      <c r="H15" t="s">
        <v>5</v>
      </c>
      <c r="I15" t="s">
        <v>18</v>
      </c>
      <c r="J15">
        <v>22</v>
      </c>
      <c r="K15" s="3">
        <v>5398.45</v>
      </c>
      <c r="L15" s="3">
        <f>tblBelgaumOrders[[#This Row],[Quantity]]*tblBelgaumOrders[[#This Row],[Order_Amount]]</f>
        <v>118765.9</v>
      </c>
    </row>
    <row r="16" spans="1:12" x14ac:dyDescent="0.3">
      <c r="A16" t="s">
        <v>43</v>
      </c>
      <c r="B16" s="2">
        <v>45736</v>
      </c>
      <c r="C16" s="2" t="str">
        <f>TEXT(tblBelgaumOrders[[#This Row],[Order_Date]],"mmm")</f>
        <v>Mar</v>
      </c>
      <c r="D16" t="s">
        <v>34</v>
      </c>
      <c r="E16" t="s">
        <v>14</v>
      </c>
      <c r="F16" t="s">
        <v>37</v>
      </c>
      <c r="G16" t="s">
        <v>15</v>
      </c>
      <c r="H16" t="s">
        <v>10</v>
      </c>
      <c r="I16" t="s">
        <v>11</v>
      </c>
      <c r="J16">
        <v>16</v>
      </c>
      <c r="K16" s="3">
        <v>3671.94</v>
      </c>
      <c r="L16" s="3">
        <f>tblBelgaumOrders[[#This Row],[Quantity]]*tblBelgaumOrders[[#This Row],[Order_Amount]]</f>
        <v>58751.040000000001</v>
      </c>
    </row>
    <row r="17" spans="1:12" x14ac:dyDescent="0.3">
      <c r="A17" t="s">
        <v>44</v>
      </c>
      <c r="B17" s="2">
        <v>45715</v>
      </c>
      <c r="C17" s="2" t="str">
        <f>TEXT(tblBelgaumOrders[[#This Row],[Order_Date]],"mmm")</f>
        <v>Feb</v>
      </c>
      <c r="D17" t="s">
        <v>34</v>
      </c>
      <c r="E17" t="s">
        <v>14</v>
      </c>
      <c r="F17" t="s">
        <v>21</v>
      </c>
      <c r="G17" t="s">
        <v>4</v>
      </c>
      <c r="H17" t="s">
        <v>10</v>
      </c>
      <c r="I17" t="s">
        <v>18</v>
      </c>
      <c r="J17">
        <v>8</v>
      </c>
      <c r="K17" s="3">
        <v>769.34</v>
      </c>
      <c r="L17" s="3">
        <f>tblBelgaumOrders[[#This Row],[Quantity]]*tblBelgaumOrders[[#This Row],[Order_Amount]]</f>
        <v>6154.72</v>
      </c>
    </row>
    <row r="18" spans="1:12" x14ac:dyDescent="0.3">
      <c r="A18" t="s">
        <v>45</v>
      </c>
      <c r="B18" s="2">
        <v>45906</v>
      </c>
      <c r="C18" s="2" t="str">
        <f>TEXT(tblBelgaumOrders[[#This Row],[Order_Date]],"mmm")</f>
        <v>Sep</v>
      </c>
      <c r="D18" t="s">
        <v>20</v>
      </c>
      <c r="E18" t="s">
        <v>24</v>
      </c>
      <c r="F18" t="s">
        <v>37</v>
      </c>
      <c r="G18" t="s">
        <v>4</v>
      </c>
      <c r="H18" t="s">
        <v>5</v>
      </c>
      <c r="I18" t="s">
        <v>46</v>
      </c>
      <c r="J18">
        <v>8</v>
      </c>
      <c r="K18" s="3">
        <v>1889.27</v>
      </c>
      <c r="L18" s="3">
        <f>tblBelgaumOrders[[#This Row],[Quantity]]*tblBelgaumOrders[[#This Row],[Order_Amount]]</f>
        <v>15114.16</v>
      </c>
    </row>
    <row r="19" spans="1:12" x14ac:dyDescent="0.3">
      <c r="A19" t="s">
        <v>47</v>
      </c>
      <c r="B19" s="2">
        <v>45874</v>
      </c>
      <c r="C19" s="2" t="str">
        <f>TEXT(tblBelgaumOrders[[#This Row],[Order_Date]],"mmm")</f>
        <v>Aug</v>
      </c>
      <c r="D19" t="s">
        <v>48</v>
      </c>
      <c r="E19" t="s">
        <v>24</v>
      </c>
      <c r="F19" t="s">
        <v>40</v>
      </c>
      <c r="G19" t="s">
        <v>4</v>
      </c>
      <c r="H19" t="s">
        <v>5</v>
      </c>
      <c r="I19" t="s">
        <v>11</v>
      </c>
      <c r="J19">
        <v>14</v>
      </c>
      <c r="K19" s="3">
        <v>2558.39</v>
      </c>
      <c r="L19" s="3">
        <f>tblBelgaumOrders[[#This Row],[Quantity]]*tblBelgaumOrders[[#This Row],[Order_Amount]]</f>
        <v>35817.46</v>
      </c>
    </row>
    <row r="20" spans="1:12" x14ac:dyDescent="0.3">
      <c r="A20" t="s">
        <v>49</v>
      </c>
      <c r="B20" s="2">
        <v>45719</v>
      </c>
      <c r="C20" s="2" t="str">
        <f>TEXT(tblBelgaumOrders[[#This Row],[Order_Date]],"mmm")</f>
        <v>Mar</v>
      </c>
      <c r="D20" t="s">
        <v>50</v>
      </c>
      <c r="E20" t="s">
        <v>2</v>
      </c>
      <c r="F20" t="s">
        <v>51</v>
      </c>
      <c r="G20" t="s">
        <v>4</v>
      </c>
      <c r="H20" t="s">
        <v>10</v>
      </c>
      <c r="I20" t="s">
        <v>11</v>
      </c>
      <c r="J20">
        <v>1</v>
      </c>
      <c r="K20" s="3">
        <v>2114.4699999999998</v>
      </c>
      <c r="L20" s="3">
        <f>tblBelgaumOrders[[#This Row],[Quantity]]*tblBelgaumOrders[[#This Row],[Order_Amount]]</f>
        <v>2114.4699999999998</v>
      </c>
    </row>
    <row r="21" spans="1:12" x14ac:dyDescent="0.3">
      <c r="A21" t="s">
        <v>52</v>
      </c>
      <c r="B21" s="2">
        <v>45674</v>
      </c>
      <c r="C21" s="2" t="str">
        <f>TEXT(tblBelgaumOrders[[#This Row],[Order_Date]],"mmm")</f>
        <v>Jan</v>
      </c>
      <c r="D21" t="s">
        <v>53</v>
      </c>
      <c r="E21" t="s">
        <v>2</v>
      </c>
      <c r="F21" t="s">
        <v>3</v>
      </c>
      <c r="G21" t="s">
        <v>4</v>
      </c>
      <c r="H21" t="s">
        <v>10</v>
      </c>
      <c r="I21" t="s">
        <v>11</v>
      </c>
      <c r="J21">
        <v>10</v>
      </c>
      <c r="K21" s="3">
        <v>2848.89</v>
      </c>
      <c r="L21" s="3">
        <f>tblBelgaumOrders[[#This Row],[Quantity]]*tblBelgaumOrders[[#This Row],[Order_Amount]]</f>
        <v>28488.899999999998</v>
      </c>
    </row>
    <row r="22" spans="1:12" x14ac:dyDescent="0.3">
      <c r="A22" t="s">
        <v>54</v>
      </c>
      <c r="B22" s="2">
        <v>45782</v>
      </c>
      <c r="C22" s="2" t="str">
        <f>TEXT(tblBelgaumOrders[[#This Row],[Order_Date]],"mmm")</f>
        <v>May</v>
      </c>
      <c r="D22" t="s">
        <v>55</v>
      </c>
      <c r="E22" t="s">
        <v>14</v>
      </c>
      <c r="F22" t="s">
        <v>9</v>
      </c>
      <c r="G22" t="s">
        <v>4</v>
      </c>
      <c r="H22" t="s">
        <v>10</v>
      </c>
      <c r="I22" t="s">
        <v>11</v>
      </c>
      <c r="J22">
        <v>20</v>
      </c>
      <c r="K22" s="3">
        <v>4565.8900000000003</v>
      </c>
      <c r="L22" s="3">
        <f>tblBelgaumOrders[[#This Row],[Quantity]]*tblBelgaumOrders[[#This Row],[Order_Amount]]</f>
        <v>91317.8</v>
      </c>
    </row>
    <row r="23" spans="1:12" x14ac:dyDescent="0.3">
      <c r="A23" t="s">
        <v>56</v>
      </c>
      <c r="B23" s="2">
        <v>45685</v>
      </c>
      <c r="C23" s="2" t="str">
        <f>TEXT(tblBelgaumOrders[[#This Row],[Order_Date]],"mmm")</f>
        <v>Jan</v>
      </c>
      <c r="D23" t="s">
        <v>1</v>
      </c>
      <c r="E23" t="s">
        <v>2</v>
      </c>
      <c r="F23" t="s">
        <v>40</v>
      </c>
      <c r="G23" t="s">
        <v>15</v>
      </c>
      <c r="H23" t="s">
        <v>10</v>
      </c>
      <c r="I23" t="s">
        <v>11</v>
      </c>
      <c r="J23">
        <v>9</v>
      </c>
      <c r="K23" s="3">
        <v>1467.6</v>
      </c>
      <c r="L23" s="3">
        <f>tblBelgaumOrders[[#This Row],[Quantity]]*tblBelgaumOrders[[#This Row],[Order_Amount]]</f>
        <v>13208.4</v>
      </c>
    </row>
    <row r="24" spans="1:12" x14ac:dyDescent="0.3">
      <c r="A24" t="s">
        <v>57</v>
      </c>
      <c r="B24" s="2">
        <v>45874</v>
      </c>
      <c r="C24" s="2" t="str">
        <f>TEXT(tblBelgaumOrders[[#This Row],[Order_Date]],"mmm")</f>
        <v>Aug</v>
      </c>
      <c r="D24" t="s">
        <v>58</v>
      </c>
      <c r="E24" t="s">
        <v>2</v>
      </c>
      <c r="F24" t="s">
        <v>3</v>
      </c>
      <c r="G24" t="s">
        <v>30</v>
      </c>
      <c r="H24" t="s">
        <v>10</v>
      </c>
      <c r="I24" t="s">
        <v>18</v>
      </c>
      <c r="J24">
        <v>9</v>
      </c>
      <c r="K24" s="3">
        <v>1892.46</v>
      </c>
      <c r="L24" s="3">
        <f>tblBelgaumOrders[[#This Row],[Quantity]]*tblBelgaumOrders[[#This Row],[Order_Amount]]</f>
        <v>17032.14</v>
      </c>
    </row>
    <row r="25" spans="1:12" x14ac:dyDescent="0.3">
      <c r="A25" t="s">
        <v>59</v>
      </c>
      <c r="B25" s="2">
        <v>45991</v>
      </c>
      <c r="C25" s="2" t="str">
        <f>TEXT(tblBelgaumOrders[[#This Row],[Order_Date]],"mmm")</f>
        <v>Nov</v>
      </c>
      <c r="D25" t="s">
        <v>39</v>
      </c>
      <c r="E25" t="s">
        <v>14</v>
      </c>
      <c r="F25" t="s">
        <v>35</v>
      </c>
      <c r="G25" t="s">
        <v>30</v>
      </c>
      <c r="H25" t="s">
        <v>5</v>
      </c>
      <c r="I25" t="s">
        <v>11</v>
      </c>
      <c r="J25">
        <v>21</v>
      </c>
      <c r="K25" s="3">
        <v>69808.37</v>
      </c>
      <c r="L25" s="3">
        <f>tblBelgaumOrders[[#This Row],[Quantity]]*tblBelgaumOrders[[#This Row],[Order_Amount]]</f>
        <v>1465975.77</v>
      </c>
    </row>
    <row r="26" spans="1:12" x14ac:dyDescent="0.3">
      <c r="A26" t="s">
        <v>60</v>
      </c>
      <c r="B26" s="2">
        <v>45688</v>
      </c>
      <c r="C26" s="2" t="str">
        <f>TEXT(tblBelgaumOrders[[#This Row],[Order_Date]],"mmm")</f>
        <v>Jan</v>
      </c>
      <c r="D26" t="s">
        <v>58</v>
      </c>
      <c r="E26" t="s">
        <v>2</v>
      </c>
      <c r="F26" t="s">
        <v>35</v>
      </c>
      <c r="G26" t="s">
        <v>4</v>
      </c>
      <c r="H26" t="s">
        <v>5</v>
      </c>
      <c r="I26" t="s">
        <v>11</v>
      </c>
      <c r="J26">
        <v>7</v>
      </c>
      <c r="K26" s="3">
        <v>26162.19</v>
      </c>
      <c r="L26" s="3">
        <f>tblBelgaumOrders[[#This Row],[Quantity]]*tblBelgaumOrders[[#This Row],[Order_Amount]]</f>
        <v>183135.33</v>
      </c>
    </row>
    <row r="27" spans="1:12" x14ac:dyDescent="0.3">
      <c r="A27" t="s">
        <v>61</v>
      </c>
      <c r="B27" s="2">
        <v>45942</v>
      </c>
      <c r="C27" s="2" t="str">
        <f>TEXT(tblBelgaumOrders[[#This Row],[Order_Date]],"mmm")</f>
        <v>Oct</v>
      </c>
      <c r="D27" t="s">
        <v>55</v>
      </c>
      <c r="E27" t="s">
        <v>2</v>
      </c>
      <c r="F27" t="s">
        <v>3</v>
      </c>
      <c r="G27" t="s">
        <v>30</v>
      </c>
      <c r="H27" t="s">
        <v>10</v>
      </c>
      <c r="I27" t="s">
        <v>6</v>
      </c>
      <c r="J27">
        <v>6</v>
      </c>
      <c r="K27" s="3">
        <v>1223.51</v>
      </c>
      <c r="L27" s="3">
        <f>tblBelgaumOrders[[#This Row],[Quantity]]*tblBelgaumOrders[[#This Row],[Order_Amount]]</f>
        <v>7341.0599999999995</v>
      </c>
    </row>
    <row r="28" spans="1:12" x14ac:dyDescent="0.3">
      <c r="A28" t="s">
        <v>62</v>
      </c>
      <c r="B28" s="2">
        <v>45957</v>
      </c>
      <c r="C28" s="2" t="str">
        <f>TEXT(tblBelgaumOrders[[#This Row],[Order_Date]],"mmm")</f>
        <v>Oct</v>
      </c>
      <c r="D28" t="s">
        <v>55</v>
      </c>
      <c r="E28" t="s">
        <v>2</v>
      </c>
      <c r="F28" t="s">
        <v>21</v>
      </c>
      <c r="G28" t="s">
        <v>4</v>
      </c>
      <c r="H28" t="s">
        <v>63</v>
      </c>
      <c r="I28" t="s">
        <v>11</v>
      </c>
      <c r="J28">
        <v>3</v>
      </c>
      <c r="K28" s="3">
        <v>284.8</v>
      </c>
      <c r="L28" s="3">
        <f>tblBelgaumOrders[[#This Row],[Quantity]]*tblBelgaumOrders[[#This Row],[Order_Amount]]</f>
        <v>854.40000000000009</v>
      </c>
    </row>
    <row r="29" spans="1:12" x14ac:dyDescent="0.3">
      <c r="A29" t="s">
        <v>64</v>
      </c>
      <c r="B29" s="2">
        <v>45692</v>
      </c>
      <c r="C29" s="2" t="str">
        <f>TEXT(tblBelgaumOrders[[#This Row],[Order_Date]],"mmm")</f>
        <v>Feb</v>
      </c>
      <c r="D29" t="s">
        <v>50</v>
      </c>
      <c r="E29" t="s">
        <v>2</v>
      </c>
      <c r="F29" t="s">
        <v>35</v>
      </c>
      <c r="G29" t="s">
        <v>4</v>
      </c>
      <c r="H29" t="s">
        <v>10</v>
      </c>
      <c r="I29" t="s">
        <v>11</v>
      </c>
      <c r="J29">
        <v>2</v>
      </c>
      <c r="K29" s="3">
        <v>6409.82</v>
      </c>
      <c r="L29" s="3">
        <f>tblBelgaumOrders[[#This Row],[Quantity]]*tblBelgaumOrders[[#This Row],[Order_Amount]]</f>
        <v>12819.64</v>
      </c>
    </row>
    <row r="30" spans="1:12" x14ac:dyDescent="0.3">
      <c r="A30" t="s">
        <v>65</v>
      </c>
      <c r="B30" s="2">
        <v>45925</v>
      </c>
      <c r="C30" s="2" t="str">
        <f>TEXT(tblBelgaumOrders[[#This Row],[Order_Date]],"mmm")</f>
        <v>Sep</v>
      </c>
      <c r="D30" t="s">
        <v>53</v>
      </c>
      <c r="E30" t="s">
        <v>24</v>
      </c>
      <c r="F30" t="s">
        <v>9</v>
      </c>
      <c r="G30" t="s">
        <v>15</v>
      </c>
      <c r="H30" t="s">
        <v>10</v>
      </c>
      <c r="I30" t="s">
        <v>11</v>
      </c>
      <c r="J30">
        <v>12</v>
      </c>
      <c r="K30" s="3">
        <v>2631.52</v>
      </c>
      <c r="L30" s="3">
        <f>tblBelgaumOrders[[#This Row],[Quantity]]*tblBelgaumOrders[[#This Row],[Order_Amount]]</f>
        <v>31578.239999999998</v>
      </c>
    </row>
    <row r="31" spans="1:12" x14ac:dyDescent="0.3">
      <c r="A31" t="s">
        <v>66</v>
      </c>
      <c r="B31" s="2">
        <v>45695</v>
      </c>
      <c r="C31" s="2" t="str">
        <f>TEXT(tblBelgaumOrders[[#This Row],[Order_Date]],"mmm")</f>
        <v>Feb</v>
      </c>
      <c r="D31" t="s">
        <v>67</v>
      </c>
      <c r="E31" t="s">
        <v>2</v>
      </c>
      <c r="F31" t="s">
        <v>35</v>
      </c>
      <c r="G31" t="s">
        <v>30</v>
      </c>
      <c r="H31" t="s">
        <v>10</v>
      </c>
      <c r="I31" t="s">
        <v>11</v>
      </c>
      <c r="J31">
        <v>5</v>
      </c>
      <c r="K31" s="3">
        <v>13271.58</v>
      </c>
      <c r="L31" s="3">
        <f>tblBelgaumOrders[[#This Row],[Quantity]]*tblBelgaumOrders[[#This Row],[Order_Amount]]</f>
        <v>66357.899999999994</v>
      </c>
    </row>
    <row r="32" spans="1:12" x14ac:dyDescent="0.3">
      <c r="A32" t="s">
        <v>68</v>
      </c>
      <c r="B32" s="2">
        <v>45693</v>
      </c>
      <c r="C32" s="2" t="str">
        <f>TEXT(tblBelgaumOrders[[#This Row],[Order_Date]],"mmm")</f>
        <v>Feb</v>
      </c>
      <c r="D32" t="s">
        <v>50</v>
      </c>
      <c r="E32" t="s">
        <v>2</v>
      </c>
      <c r="F32" t="s">
        <v>9</v>
      </c>
      <c r="G32" t="s">
        <v>17</v>
      </c>
      <c r="H32" t="s">
        <v>5</v>
      </c>
      <c r="I32" t="s">
        <v>6</v>
      </c>
      <c r="J32">
        <v>9</v>
      </c>
      <c r="K32" s="3">
        <v>0</v>
      </c>
      <c r="L32" s="3">
        <f>tblBelgaumOrders[[#This Row],[Quantity]]*tblBelgaumOrders[[#This Row],[Order_Amount]]</f>
        <v>0</v>
      </c>
    </row>
    <row r="33" spans="1:12" x14ac:dyDescent="0.3">
      <c r="A33" t="s">
        <v>69</v>
      </c>
      <c r="B33" s="2">
        <v>45941</v>
      </c>
      <c r="C33" s="2" t="str">
        <f>TEXT(tblBelgaumOrders[[#This Row],[Order_Date]],"mmm")</f>
        <v>Oct</v>
      </c>
      <c r="D33" t="s">
        <v>23</v>
      </c>
      <c r="E33" t="s">
        <v>24</v>
      </c>
      <c r="F33" t="s">
        <v>9</v>
      </c>
      <c r="G33" t="s">
        <v>17</v>
      </c>
      <c r="H33" t="s">
        <v>10</v>
      </c>
      <c r="I33" t="s">
        <v>18</v>
      </c>
      <c r="J33">
        <v>7</v>
      </c>
      <c r="K33" s="3">
        <v>0</v>
      </c>
      <c r="L33" s="3">
        <f>tblBelgaumOrders[[#This Row],[Quantity]]*tblBelgaumOrders[[#This Row],[Order_Amount]]</f>
        <v>0</v>
      </c>
    </row>
    <row r="34" spans="1:12" x14ac:dyDescent="0.3">
      <c r="A34" t="s">
        <v>70</v>
      </c>
      <c r="B34" s="2">
        <v>45833</v>
      </c>
      <c r="C34" s="2" t="str">
        <f>TEXT(tblBelgaumOrders[[#This Row],[Order_Date]],"mmm")</f>
        <v>Jun</v>
      </c>
      <c r="D34" t="s">
        <v>48</v>
      </c>
      <c r="E34" t="s">
        <v>14</v>
      </c>
      <c r="F34" t="s">
        <v>21</v>
      </c>
      <c r="G34" t="s">
        <v>4</v>
      </c>
      <c r="H34" t="s">
        <v>10</v>
      </c>
      <c r="I34" t="s">
        <v>46</v>
      </c>
      <c r="J34">
        <v>7</v>
      </c>
      <c r="K34" s="3">
        <v>676.52</v>
      </c>
      <c r="L34" s="3">
        <f>tblBelgaumOrders[[#This Row],[Quantity]]*tblBelgaumOrders[[#This Row],[Order_Amount]]</f>
        <v>4735.6399999999994</v>
      </c>
    </row>
    <row r="35" spans="1:12" x14ac:dyDescent="0.3">
      <c r="A35" t="s">
        <v>71</v>
      </c>
      <c r="B35" s="2">
        <v>45874</v>
      </c>
      <c r="C35" s="2" t="str">
        <f>TEXT(tblBelgaumOrders[[#This Row],[Order_Date]],"mmm")</f>
        <v>Aug</v>
      </c>
      <c r="D35" t="s">
        <v>13</v>
      </c>
      <c r="E35" t="s">
        <v>2</v>
      </c>
      <c r="F35" t="s">
        <v>51</v>
      </c>
      <c r="G35" t="s">
        <v>4</v>
      </c>
      <c r="H35" t="s">
        <v>63</v>
      </c>
      <c r="I35" t="s">
        <v>11</v>
      </c>
      <c r="J35">
        <v>8</v>
      </c>
      <c r="K35" s="3">
        <v>15566.52</v>
      </c>
      <c r="L35" s="3">
        <f>tblBelgaumOrders[[#This Row],[Quantity]]*tblBelgaumOrders[[#This Row],[Order_Amount]]</f>
        <v>124532.16</v>
      </c>
    </row>
    <row r="36" spans="1:12" x14ac:dyDescent="0.3">
      <c r="A36" t="s">
        <v>72</v>
      </c>
      <c r="B36" s="2">
        <v>45662</v>
      </c>
      <c r="C36" s="2" t="str">
        <f>TEXT(tblBelgaumOrders[[#This Row],[Order_Date]],"mmm")</f>
        <v>Jan</v>
      </c>
      <c r="D36" t="s">
        <v>1</v>
      </c>
      <c r="E36" t="s">
        <v>2</v>
      </c>
      <c r="F36" t="s">
        <v>73</v>
      </c>
      <c r="G36" t="s">
        <v>17</v>
      </c>
      <c r="H36" t="s">
        <v>10</v>
      </c>
      <c r="I36" t="s">
        <v>18</v>
      </c>
      <c r="J36">
        <v>10</v>
      </c>
      <c r="K36" s="3">
        <v>0</v>
      </c>
      <c r="L36" s="3">
        <f>tblBelgaumOrders[[#This Row],[Quantity]]*tblBelgaumOrders[[#This Row],[Order_Amount]]</f>
        <v>0</v>
      </c>
    </row>
    <row r="37" spans="1:12" x14ac:dyDescent="0.3">
      <c r="A37" t="s">
        <v>74</v>
      </c>
      <c r="B37" s="2">
        <v>45878</v>
      </c>
      <c r="C37" s="2" t="str">
        <f>TEXT(tblBelgaumOrders[[#This Row],[Order_Date]],"mmm")</f>
        <v>Aug</v>
      </c>
      <c r="D37" t="s">
        <v>75</v>
      </c>
      <c r="E37" t="s">
        <v>2</v>
      </c>
      <c r="F37" t="s">
        <v>51</v>
      </c>
      <c r="G37" t="s">
        <v>30</v>
      </c>
      <c r="H37" t="s">
        <v>63</v>
      </c>
      <c r="I37" t="s">
        <v>11</v>
      </c>
      <c r="J37">
        <v>1</v>
      </c>
      <c r="K37" s="3">
        <v>1576.88</v>
      </c>
      <c r="L37" s="3">
        <f>tblBelgaumOrders[[#This Row],[Quantity]]*tblBelgaumOrders[[#This Row],[Order_Amount]]</f>
        <v>1576.88</v>
      </c>
    </row>
    <row r="38" spans="1:12" x14ac:dyDescent="0.3">
      <c r="A38" t="s">
        <v>76</v>
      </c>
      <c r="B38" s="2">
        <v>45839</v>
      </c>
      <c r="C38" s="2" t="str">
        <f>TEXT(tblBelgaumOrders[[#This Row],[Order_Date]],"mmm")</f>
        <v>Jul</v>
      </c>
      <c r="D38" t="s">
        <v>39</v>
      </c>
      <c r="E38" t="s">
        <v>14</v>
      </c>
      <c r="F38" t="s">
        <v>77</v>
      </c>
      <c r="G38" t="s">
        <v>4</v>
      </c>
      <c r="H38" t="s">
        <v>10</v>
      </c>
      <c r="I38" t="s">
        <v>46</v>
      </c>
      <c r="J38">
        <v>11</v>
      </c>
      <c r="K38" s="3">
        <v>13958.31</v>
      </c>
      <c r="L38" s="3">
        <f>tblBelgaumOrders[[#This Row],[Quantity]]*tblBelgaumOrders[[#This Row],[Order_Amount]]</f>
        <v>153541.41</v>
      </c>
    </row>
    <row r="39" spans="1:12" x14ac:dyDescent="0.3">
      <c r="A39" t="s">
        <v>78</v>
      </c>
      <c r="B39" s="2">
        <v>45748</v>
      </c>
      <c r="C39" s="2" t="str">
        <f>TEXT(tblBelgaumOrders[[#This Row],[Order_Date]],"mmm")</f>
        <v>Apr</v>
      </c>
      <c r="D39" t="s">
        <v>79</v>
      </c>
      <c r="E39" t="s">
        <v>2</v>
      </c>
      <c r="F39" t="s">
        <v>40</v>
      </c>
      <c r="G39" t="s">
        <v>4</v>
      </c>
      <c r="H39" t="s">
        <v>63</v>
      </c>
      <c r="I39" t="s">
        <v>18</v>
      </c>
      <c r="J39">
        <v>4</v>
      </c>
      <c r="K39" s="3">
        <v>582.45000000000005</v>
      </c>
      <c r="L39" s="3">
        <f>tblBelgaumOrders[[#This Row],[Quantity]]*tblBelgaumOrders[[#This Row],[Order_Amount]]</f>
        <v>2329.8000000000002</v>
      </c>
    </row>
    <row r="40" spans="1:12" x14ac:dyDescent="0.3">
      <c r="A40" t="s">
        <v>80</v>
      </c>
      <c r="B40" s="2">
        <v>45713</v>
      </c>
      <c r="C40" s="2" t="str">
        <f>TEXT(tblBelgaumOrders[[#This Row],[Order_Date]],"mmm")</f>
        <v>Feb</v>
      </c>
      <c r="D40" t="s">
        <v>29</v>
      </c>
      <c r="E40" t="s">
        <v>14</v>
      </c>
      <c r="F40" t="s">
        <v>21</v>
      </c>
      <c r="G40" t="s">
        <v>4</v>
      </c>
      <c r="H40" t="s">
        <v>5</v>
      </c>
      <c r="I40" t="s">
        <v>6</v>
      </c>
      <c r="J40">
        <v>15</v>
      </c>
      <c r="K40" s="3">
        <v>2236.1799999999998</v>
      </c>
      <c r="L40" s="3">
        <f>tblBelgaumOrders[[#This Row],[Quantity]]*tblBelgaumOrders[[#This Row],[Order_Amount]]</f>
        <v>33542.699999999997</v>
      </c>
    </row>
    <row r="41" spans="1:12" x14ac:dyDescent="0.3">
      <c r="A41" t="s">
        <v>81</v>
      </c>
      <c r="B41" s="2">
        <v>45774</v>
      </c>
      <c r="C41" s="2" t="str">
        <f>TEXT(tblBelgaumOrders[[#This Row],[Order_Date]],"mmm")</f>
        <v>Apr</v>
      </c>
      <c r="D41" t="s">
        <v>50</v>
      </c>
      <c r="E41" t="s">
        <v>2</v>
      </c>
      <c r="F41" t="s">
        <v>9</v>
      </c>
      <c r="G41" t="s">
        <v>4</v>
      </c>
      <c r="H41" t="s">
        <v>5</v>
      </c>
      <c r="I41" t="s">
        <v>82</v>
      </c>
      <c r="J41">
        <v>5</v>
      </c>
      <c r="K41" s="3">
        <v>864.62</v>
      </c>
      <c r="L41" s="3">
        <f>tblBelgaumOrders[[#This Row],[Quantity]]*tblBelgaumOrders[[#This Row],[Order_Amount]]</f>
        <v>4323.1000000000004</v>
      </c>
    </row>
    <row r="42" spans="1:12" x14ac:dyDescent="0.3">
      <c r="A42" t="s">
        <v>83</v>
      </c>
      <c r="B42" s="2">
        <v>45918</v>
      </c>
      <c r="C42" s="2" t="str">
        <f>TEXT(tblBelgaumOrders[[#This Row],[Order_Date]],"mmm")</f>
        <v>Sep</v>
      </c>
      <c r="D42" t="s">
        <v>29</v>
      </c>
      <c r="E42" t="s">
        <v>14</v>
      </c>
      <c r="F42" t="s">
        <v>21</v>
      </c>
      <c r="G42" t="s">
        <v>4</v>
      </c>
      <c r="H42" t="s">
        <v>10</v>
      </c>
      <c r="I42" t="s">
        <v>18</v>
      </c>
      <c r="J42">
        <v>14</v>
      </c>
      <c r="K42" s="3">
        <v>1440</v>
      </c>
      <c r="L42" s="3">
        <f>tblBelgaumOrders[[#This Row],[Quantity]]*tblBelgaumOrders[[#This Row],[Order_Amount]]</f>
        <v>20160</v>
      </c>
    </row>
    <row r="43" spans="1:12" x14ac:dyDescent="0.3">
      <c r="A43" t="s">
        <v>84</v>
      </c>
      <c r="B43" s="2">
        <v>45793</v>
      </c>
      <c r="C43" s="2" t="str">
        <f>TEXT(tblBelgaumOrders[[#This Row],[Order_Date]],"mmm")</f>
        <v>May</v>
      </c>
      <c r="D43" t="s">
        <v>8</v>
      </c>
      <c r="E43" t="s">
        <v>2</v>
      </c>
      <c r="F43" t="s">
        <v>77</v>
      </c>
      <c r="G43" t="s">
        <v>15</v>
      </c>
      <c r="H43" t="s">
        <v>10</v>
      </c>
      <c r="I43" t="s">
        <v>6</v>
      </c>
      <c r="J43">
        <v>9</v>
      </c>
      <c r="K43" s="3">
        <v>7005.76</v>
      </c>
      <c r="L43" s="3">
        <f>tblBelgaumOrders[[#This Row],[Quantity]]*tblBelgaumOrders[[#This Row],[Order_Amount]]</f>
        <v>63051.840000000004</v>
      </c>
    </row>
    <row r="44" spans="1:12" x14ac:dyDescent="0.3">
      <c r="A44" t="s">
        <v>85</v>
      </c>
      <c r="B44" s="2">
        <v>45953</v>
      </c>
      <c r="C44" s="2" t="str">
        <f>TEXT(tblBelgaumOrders[[#This Row],[Order_Date]],"mmm")</f>
        <v>Oct</v>
      </c>
      <c r="D44" t="s">
        <v>48</v>
      </c>
      <c r="E44" t="s">
        <v>2</v>
      </c>
      <c r="F44" t="s">
        <v>40</v>
      </c>
      <c r="G44" t="s">
        <v>4</v>
      </c>
      <c r="H44" t="s">
        <v>63</v>
      </c>
      <c r="I44" t="s">
        <v>6</v>
      </c>
      <c r="J44">
        <v>4</v>
      </c>
      <c r="K44" s="3">
        <v>619.86</v>
      </c>
      <c r="L44" s="3">
        <f>tblBelgaumOrders[[#This Row],[Quantity]]*tblBelgaumOrders[[#This Row],[Order_Amount]]</f>
        <v>2479.44</v>
      </c>
    </row>
    <row r="45" spans="1:12" x14ac:dyDescent="0.3">
      <c r="A45" t="s">
        <v>86</v>
      </c>
      <c r="B45" s="2">
        <v>45693</v>
      </c>
      <c r="C45" s="2" t="str">
        <f>TEXT(tblBelgaumOrders[[#This Row],[Order_Date]],"mmm")</f>
        <v>Feb</v>
      </c>
      <c r="D45" t="s">
        <v>53</v>
      </c>
      <c r="E45" t="s">
        <v>14</v>
      </c>
      <c r="F45" t="s">
        <v>26</v>
      </c>
      <c r="G45" t="s">
        <v>4</v>
      </c>
      <c r="H45" t="s">
        <v>63</v>
      </c>
      <c r="I45" t="s">
        <v>6</v>
      </c>
      <c r="J45">
        <v>19</v>
      </c>
      <c r="K45" s="3">
        <v>9702.98</v>
      </c>
      <c r="L45" s="3">
        <f>tblBelgaumOrders[[#This Row],[Quantity]]*tblBelgaumOrders[[#This Row],[Order_Amount]]</f>
        <v>184356.62</v>
      </c>
    </row>
    <row r="46" spans="1:12" x14ac:dyDescent="0.3">
      <c r="A46" t="s">
        <v>87</v>
      </c>
      <c r="B46" s="2">
        <v>45809</v>
      </c>
      <c r="C46" s="2" t="str">
        <f>TEXT(tblBelgaumOrders[[#This Row],[Order_Date]],"mmm")</f>
        <v>Jun</v>
      </c>
      <c r="D46" t="s">
        <v>39</v>
      </c>
      <c r="E46" t="s">
        <v>2</v>
      </c>
      <c r="F46" t="s">
        <v>77</v>
      </c>
      <c r="G46" t="s">
        <v>30</v>
      </c>
      <c r="H46" t="s">
        <v>5</v>
      </c>
      <c r="I46" t="s">
        <v>46</v>
      </c>
      <c r="J46">
        <v>10</v>
      </c>
      <c r="K46" s="3">
        <v>10368.9</v>
      </c>
      <c r="L46" s="3">
        <f>tblBelgaumOrders[[#This Row],[Quantity]]*tblBelgaumOrders[[#This Row],[Order_Amount]]</f>
        <v>103689</v>
      </c>
    </row>
    <row r="47" spans="1:12" x14ac:dyDescent="0.3">
      <c r="A47" t="s">
        <v>88</v>
      </c>
      <c r="B47" s="2">
        <v>45865</v>
      </c>
      <c r="C47" s="2" t="str">
        <f>TEXT(tblBelgaumOrders[[#This Row],[Order_Date]],"mmm")</f>
        <v>Jul</v>
      </c>
      <c r="D47" t="s">
        <v>39</v>
      </c>
      <c r="E47" t="s">
        <v>14</v>
      </c>
      <c r="F47" t="s">
        <v>3</v>
      </c>
      <c r="G47" t="s">
        <v>4</v>
      </c>
      <c r="H47" t="s">
        <v>5</v>
      </c>
      <c r="I47" t="s">
        <v>6</v>
      </c>
      <c r="J47">
        <v>16</v>
      </c>
      <c r="K47" s="3">
        <v>4280.6099999999997</v>
      </c>
      <c r="L47" s="3">
        <f>tblBelgaumOrders[[#This Row],[Quantity]]*tblBelgaumOrders[[#This Row],[Order_Amount]]</f>
        <v>68489.759999999995</v>
      </c>
    </row>
    <row r="48" spans="1:12" x14ac:dyDescent="0.3">
      <c r="A48" t="s">
        <v>89</v>
      </c>
      <c r="B48" s="2">
        <v>45884</v>
      </c>
      <c r="C48" s="2" t="str">
        <f>TEXT(tblBelgaumOrders[[#This Row],[Order_Date]],"mmm")</f>
        <v>Aug</v>
      </c>
      <c r="D48" t="s">
        <v>48</v>
      </c>
      <c r="E48" t="s">
        <v>2</v>
      </c>
      <c r="F48" t="s">
        <v>21</v>
      </c>
      <c r="G48" t="s">
        <v>30</v>
      </c>
      <c r="H48" t="s">
        <v>5</v>
      </c>
      <c r="I48" t="s">
        <v>6</v>
      </c>
      <c r="J48">
        <v>5</v>
      </c>
      <c r="K48" s="3">
        <v>635.55999999999995</v>
      </c>
      <c r="L48" s="3">
        <f>tblBelgaumOrders[[#This Row],[Quantity]]*tblBelgaumOrders[[#This Row],[Order_Amount]]</f>
        <v>3177.7999999999997</v>
      </c>
    </row>
    <row r="49" spans="1:12" x14ac:dyDescent="0.3">
      <c r="A49" t="s">
        <v>90</v>
      </c>
      <c r="B49" s="2">
        <v>45982</v>
      </c>
      <c r="C49" s="2" t="str">
        <f>TEXT(tblBelgaumOrders[[#This Row],[Order_Date]],"mmm")</f>
        <v>Nov</v>
      </c>
      <c r="D49" t="s">
        <v>53</v>
      </c>
      <c r="E49" t="s">
        <v>2</v>
      </c>
      <c r="F49" t="s">
        <v>35</v>
      </c>
      <c r="G49" t="s">
        <v>4</v>
      </c>
      <c r="H49" t="s">
        <v>10</v>
      </c>
      <c r="I49" t="s">
        <v>18</v>
      </c>
      <c r="J49">
        <v>3</v>
      </c>
      <c r="K49" s="3">
        <v>7340.69</v>
      </c>
      <c r="L49" s="3">
        <f>tblBelgaumOrders[[#This Row],[Quantity]]*tblBelgaumOrders[[#This Row],[Order_Amount]]</f>
        <v>22022.07</v>
      </c>
    </row>
    <row r="50" spans="1:12" x14ac:dyDescent="0.3">
      <c r="A50" t="s">
        <v>91</v>
      </c>
      <c r="B50" s="2">
        <v>45970</v>
      </c>
      <c r="C50" s="2" t="str">
        <f>TEXT(tblBelgaumOrders[[#This Row],[Order_Date]],"mmm")</f>
        <v>Nov</v>
      </c>
      <c r="D50" t="s">
        <v>20</v>
      </c>
      <c r="E50" t="s">
        <v>2</v>
      </c>
      <c r="F50" t="s">
        <v>73</v>
      </c>
      <c r="G50" t="s">
        <v>4</v>
      </c>
      <c r="H50" t="s">
        <v>5</v>
      </c>
      <c r="I50" t="s">
        <v>11</v>
      </c>
      <c r="J50">
        <v>7</v>
      </c>
      <c r="K50" s="3">
        <v>2635.39</v>
      </c>
      <c r="L50" s="3">
        <f>tblBelgaumOrders[[#This Row],[Quantity]]*tblBelgaumOrders[[#This Row],[Order_Amount]]</f>
        <v>18447.73</v>
      </c>
    </row>
    <row r="51" spans="1:12" x14ac:dyDescent="0.3">
      <c r="A51" t="s">
        <v>92</v>
      </c>
      <c r="B51" s="2">
        <v>45993</v>
      </c>
      <c r="C51" s="2" t="str">
        <f>TEXT(tblBelgaumOrders[[#This Row],[Order_Date]],"mmm")</f>
        <v>Dec</v>
      </c>
      <c r="D51" t="s">
        <v>67</v>
      </c>
      <c r="E51" t="s">
        <v>14</v>
      </c>
      <c r="F51" t="s">
        <v>21</v>
      </c>
      <c r="G51" t="s">
        <v>17</v>
      </c>
      <c r="H51" t="s">
        <v>5</v>
      </c>
      <c r="I51" t="s">
        <v>11</v>
      </c>
      <c r="J51">
        <v>22</v>
      </c>
      <c r="K51" s="3">
        <v>0</v>
      </c>
      <c r="L51" s="3">
        <f>tblBelgaumOrders[[#This Row],[Quantity]]*tblBelgaumOrders[[#This Row],[Order_Amount]]</f>
        <v>0</v>
      </c>
    </row>
    <row r="52" spans="1:12" x14ac:dyDescent="0.3">
      <c r="A52" t="s">
        <v>93</v>
      </c>
      <c r="B52" s="2">
        <v>45943</v>
      </c>
      <c r="C52" s="2" t="str">
        <f>TEXT(tblBelgaumOrders[[#This Row],[Order_Date]],"mmm")</f>
        <v>Oct</v>
      </c>
      <c r="D52" t="s">
        <v>50</v>
      </c>
      <c r="E52" t="s">
        <v>24</v>
      </c>
      <c r="F52" t="s">
        <v>9</v>
      </c>
      <c r="G52" t="s">
        <v>4</v>
      </c>
      <c r="H52" t="s">
        <v>10</v>
      </c>
      <c r="I52" t="s">
        <v>6</v>
      </c>
      <c r="J52">
        <v>13</v>
      </c>
      <c r="K52" s="3">
        <v>3656.32</v>
      </c>
      <c r="L52" s="3">
        <f>tblBelgaumOrders[[#This Row],[Quantity]]*tblBelgaumOrders[[#This Row],[Order_Amount]]</f>
        <v>47532.160000000003</v>
      </c>
    </row>
    <row r="53" spans="1:12" x14ac:dyDescent="0.3">
      <c r="A53" t="s">
        <v>94</v>
      </c>
      <c r="B53" s="2">
        <v>45971</v>
      </c>
      <c r="C53" s="2" t="str">
        <f>TEXT(tblBelgaumOrders[[#This Row],[Order_Date]],"mmm")</f>
        <v>Nov</v>
      </c>
      <c r="D53" t="s">
        <v>42</v>
      </c>
      <c r="E53" t="s">
        <v>2</v>
      </c>
      <c r="F53" t="s">
        <v>73</v>
      </c>
      <c r="G53" t="s">
        <v>4</v>
      </c>
      <c r="H53" t="s">
        <v>10</v>
      </c>
      <c r="I53" t="s">
        <v>18</v>
      </c>
      <c r="J53">
        <v>8</v>
      </c>
      <c r="K53" s="3">
        <v>3042.53</v>
      </c>
      <c r="L53" s="3">
        <f>tblBelgaumOrders[[#This Row],[Quantity]]*tblBelgaumOrders[[#This Row],[Order_Amount]]</f>
        <v>24340.240000000002</v>
      </c>
    </row>
    <row r="54" spans="1:12" x14ac:dyDescent="0.3">
      <c r="A54" t="s">
        <v>95</v>
      </c>
      <c r="B54" s="2">
        <v>45784</v>
      </c>
      <c r="C54" s="2" t="str">
        <f>TEXT(tblBelgaumOrders[[#This Row],[Order_Date]],"mmm")</f>
        <v>May</v>
      </c>
      <c r="D54" t="s">
        <v>13</v>
      </c>
      <c r="E54" t="s">
        <v>14</v>
      </c>
      <c r="F54" t="s">
        <v>37</v>
      </c>
      <c r="G54" t="s">
        <v>4</v>
      </c>
      <c r="H54" t="s">
        <v>10</v>
      </c>
      <c r="I54" t="s">
        <v>11</v>
      </c>
      <c r="J54">
        <v>15</v>
      </c>
      <c r="K54" s="3">
        <v>2939.3</v>
      </c>
      <c r="L54" s="3">
        <f>tblBelgaumOrders[[#This Row],[Quantity]]*tblBelgaumOrders[[#This Row],[Order_Amount]]</f>
        <v>44089.5</v>
      </c>
    </row>
    <row r="55" spans="1:12" x14ac:dyDescent="0.3">
      <c r="A55" t="s">
        <v>96</v>
      </c>
      <c r="B55" s="2">
        <v>45829</v>
      </c>
      <c r="C55" s="2" t="str">
        <f>TEXT(tblBelgaumOrders[[#This Row],[Order_Date]],"mmm")</f>
        <v>Jun</v>
      </c>
      <c r="D55" t="s">
        <v>53</v>
      </c>
      <c r="E55" t="s">
        <v>14</v>
      </c>
      <c r="F55" t="s">
        <v>9</v>
      </c>
      <c r="G55" t="s">
        <v>4</v>
      </c>
      <c r="H55" t="s">
        <v>10</v>
      </c>
      <c r="I55" t="s">
        <v>11</v>
      </c>
      <c r="J55">
        <v>12</v>
      </c>
      <c r="K55" s="3">
        <v>1703.24</v>
      </c>
      <c r="L55" s="3">
        <f>tblBelgaumOrders[[#This Row],[Quantity]]*tblBelgaumOrders[[#This Row],[Order_Amount]]</f>
        <v>20438.88</v>
      </c>
    </row>
    <row r="56" spans="1:12" x14ac:dyDescent="0.3">
      <c r="A56" t="s">
        <v>97</v>
      </c>
      <c r="B56" s="2">
        <v>45866</v>
      </c>
      <c r="C56" s="2" t="str">
        <f>TEXT(tblBelgaumOrders[[#This Row],[Order_Date]],"mmm")</f>
        <v>Jul</v>
      </c>
      <c r="D56" t="s">
        <v>53</v>
      </c>
      <c r="E56" t="s">
        <v>2</v>
      </c>
      <c r="F56" t="s">
        <v>77</v>
      </c>
      <c r="G56" t="s">
        <v>4</v>
      </c>
      <c r="H56" t="s">
        <v>10</v>
      </c>
      <c r="I56" t="s">
        <v>46</v>
      </c>
      <c r="J56">
        <v>10</v>
      </c>
      <c r="K56" s="3">
        <v>12517.55</v>
      </c>
      <c r="L56" s="3">
        <f>tblBelgaumOrders[[#This Row],[Quantity]]*tblBelgaumOrders[[#This Row],[Order_Amount]]</f>
        <v>125175.5</v>
      </c>
    </row>
    <row r="57" spans="1:12" x14ac:dyDescent="0.3">
      <c r="A57" t="s">
        <v>98</v>
      </c>
      <c r="B57" s="2">
        <v>45668</v>
      </c>
      <c r="C57" s="2" t="str">
        <f>TEXT(tblBelgaumOrders[[#This Row],[Order_Date]],"mmm")</f>
        <v>Jan</v>
      </c>
      <c r="D57" t="s">
        <v>29</v>
      </c>
      <c r="E57" t="s">
        <v>2</v>
      </c>
      <c r="F57" t="s">
        <v>35</v>
      </c>
      <c r="G57" t="s">
        <v>4</v>
      </c>
      <c r="H57" t="s">
        <v>10</v>
      </c>
      <c r="I57" t="s">
        <v>18</v>
      </c>
      <c r="J57">
        <v>7</v>
      </c>
      <c r="K57" s="3">
        <v>24033.68</v>
      </c>
      <c r="L57" s="3">
        <f>tblBelgaumOrders[[#This Row],[Quantity]]*tblBelgaumOrders[[#This Row],[Order_Amount]]</f>
        <v>168235.76</v>
      </c>
    </row>
    <row r="58" spans="1:12" x14ac:dyDescent="0.3">
      <c r="A58" t="s">
        <v>99</v>
      </c>
      <c r="B58" s="2">
        <v>45966</v>
      </c>
      <c r="C58" s="2" t="str">
        <f>TEXT(tblBelgaumOrders[[#This Row],[Order_Date]],"mmm")</f>
        <v>Nov</v>
      </c>
      <c r="D58" t="s">
        <v>50</v>
      </c>
      <c r="E58" t="s">
        <v>2</v>
      </c>
      <c r="F58" t="s">
        <v>3</v>
      </c>
      <c r="G58" t="s">
        <v>4</v>
      </c>
      <c r="H58" t="s">
        <v>10</v>
      </c>
      <c r="I58" t="s">
        <v>6</v>
      </c>
      <c r="J58">
        <v>7</v>
      </c>
      <c r="K58" s="3">
        <v>2155.81</v>
      </c>
      <c r="L58" s="3">
        <f>tblBelgaumOrders[[#This Row],[Quantity]]*tblBelgaumOrders[[#This Row],[Order_Amount]]</f>
        <v>15090.67</v>
      </c>
    </row>
    <row r="59" spans="1:12" x14ac:dyDescent="0.3">
      <c r="A59" t="s">
        <v>100</v>
      </c>
      <c r="B59" s="2">
        <v>45897</v>
      </c>
      <c r="C59" s="2" t="str">
        <f>TEXT(tblBelgaumOrders[[#This Row],[Order_Date]],"mmm")</f>
        <v>Aug</v>
      </c>
      <c r="D59" t="s">
        <v>75</v>
      </c>
      <c r="E59" t="s">
        <v>24</v>
      </c>
      <c r="F59" t="s">
        <v>37</v>
      </c>
      <c r="G59" t="s">
        <v>17</v>
      </c>
      <c r="H59" t="s">
        <v>5</v>
      </c>
      <c r="I59" t="s">
        <v>6</v>
      </c>
      <c r="J59">
        <v>5</v>
      </c>
      <c r="K59" s="3">
        <v>0</v>
      </c>
      <c r="L59" s="3">
        <f>tblBelgaumOrders[[#This Row],[Quantity]]*tblBelgaumOrders[[#This Row],[Order_Amount]]</f>
        <v>0</v>
      </c>
    </row>
    <row r="60" spans="1:12" x14ac:dyDescent="0.3">
      <c r="A60" t="s">
        <v>101</v>
      </c>
      <c r="B60" s="2">
        <v>45894</v>
      </c>
      <c r="C60" s="2" t="str">
        <f>TEXT(tblBelgaumOrders[[#This Row],[Order_Date]],"mmm")</f>
        <v>Aug</v>
      </c>
      <c r="D60" t="s">
        <v>58</v>
      </c>
      <c r="E60" t="s">
        <v>2</v>
      </c>
      <c r="F60" t="s">
        <v>51</v>
      </c>
      <c r="G60" t="s">
        <v>4</v>
      </c>
      <c r="H60" t="s">
        <v>10</v>
      </c>
      <c r="I60" t="s">
        <v>18</v>
      </c>
      <c r="J60">
        <v>7</v>
      </c>
      <c r="K60" s="3">
        <v>11553.62</v>
      </c>
      <c r="L60" s="3">
        <f>tblBelgaumOrders[[#This Row],[Quantity]]*tblBelgaumOrders[[#This Row],[Order_Amount]]</f>
        <v>80875.340000000011</v>
      </c>
    </row>
    <row r="61" spans="1:12" x14ac:dyDescent="0.3">
      <c r="A61" t="s">
        <v>102</v>
      </c>
      <c r="B61" s="2">
        <v>45873</v>
      </c>
      <c r="C61" s="2" t="str">
        <f>TEXT(tblBelgaumOrders[[#This Row],[Order_Date]],"mmm")</f>
        <v>Aug</v>
      </c>
      <c r="D61" t="s">
        <v>13</v>
      </c>
      <c r="E61" t="s">
        <v>14</v>
      </c>
      <c r="F61" t="s">
        <v>77</v>
      </c>
      <c r="G61" t="s">
        <v>15</v>
      </c>
      <c r="H61" t="s">
        <v>10</v>
      </c>
      <c r="I61" t="s">
        <v>46</v>
      </c>
      <c r="J61">
        <v>13</v>
      </c>
      <c r="K61" s="3">
        <v>14080.07</v>
      </c>
      <c r="L61" s="3">
        <f>tblBelgaumOrders[[#This Row],[Quantity]]*tblBelgaumOrders[[#This Row],[Order_Amount]]</f>
        <v>183040.91</v>
      </c>
    </row>
    <row r="62" spans="1:12" x14ac:dyDescent="0.3">
      <c r="A62" t="s">
        <v>103</v>
      </c>
      <c r="B62" s="2">
        <v>45991</v>
      </c>
      <c r="C62" s="2" t="str">
        <f>TEXT(tblBelgaumOrders[[#This Row],[Order_Date]],"mmm")</f>
        <v>Nov</v>
      </c>
      <c r="D62" t="s">
        <v>8</v>
      </c>
      <c r="E62" t="s">
        <v>14</v>
      </c>
      <c r="F62" t="s">
        <v>35</v>
      </c>
      <c r="G62" t="s">
        <v>4</v>
      </c>
      <c r="H62" t="s">
        <v>10</v>
      </c>
      <c r="I62" t="s">
        <v>11</v>
      </c>
      <c r="J62">
        <v>2</v>
      </c>
      <c r="K62" s="3">
        <v>6618.47</v>
      </c>
      <c r="L62" s="3">
        <f>tblBelgaumOrders[[#This Row],[Quantity]]*tblBelgaumOrders[[#This Row],[Order_Amount]]</f>
        <v>13236.94</v>
      </c>
    </row>
    <row r="63" spans="1:12" x14ac:dyDescent="0.3">
      <c r="A63" t="s">
        <v>104</v>
      </c>
      <c r="B63" s="2">
        <v>45896</v>
      </c>
      <c r="C63" s="2" t="str">
        <f>TEXT(tblBelgaumOrders[[#This Row],[Order_Date]],"mmm")</f>
        <v>Aug</v>
      </c>
      <c r="D63" t="s">
        <v>13</v>
      </c>
      <c r="E63" t="s">
        <v>14</v>
      </c>
      <c r="F63" t="s">
        <v>9</v>
      </c>
      <c r="G63" t="s">
        <v>4</v>
      </c>
      <c r="H63" t="s">
        <v>5</v>
      </c>
      <c r="I63" t="s">
        <v>11</v>
      </c>
      <c r="J63">
        <v>11</v>
      </c>
      <c r="K63" s="3">
        <v>2631.09</v>
      </c>
      <c r="L63" s="3">
        <f>tblBelgaumOrders[[#This Row],[Quantity]]*tblBelgaumOrders[[#This Row],[Order_Amount]]</f>
        <v>28941.99</v>
      </c>
    </row>
    <row r="64" spans="1:12" x14ac:dyDescent="0.3">
      <c r="A64" t="s">
        <v>105</v>
      </c>
      <c r="B64" s="2">
        <v>45713</v>
      </c>
      <c r="C64" s="2" t="str">
        <f>TEXT(tblBelgaumOrders[[#This Row],[Order_Date]],"mmm")</f>
        <v>Feb</v>
      </c>
      <c r="D64" t="s">
        <v>67</v>
      </c>
      <c r="E64" t="s">
        <v>24</v>
      </c>
      <c r="F64" t="s">
        <v>37</v>
      </c>
      <c r="G64" t="s">
        <v>17</v>
      </c>
      <c r="H64" t="s">
        <v>10</v>
      </c>
      <c r="I64" t="s">
        <v>46</v>
      </c>
      <c r="J64">
        <v>9</v>
      </c>
      <c r="K64" s="3">
        <v>0</v>
      </c>
      <c r="L64" s="3">
        <f>tblBelgaumOrders[[#This Row],[Quantity]]*tblBelgaumOrders[[#This Row],[Order_Amount]]</f>
        <v>0</v>
      </c>
    </row>
    <row r="65" spans="1:12" x14ac:dyDescent="0.3">
      <c r="A65" t="s">
        <v>106</v>
      </c>
      <c r="B65" s="2">
        <v>45979</v>
      </c>
      <c r="C65" s="2" t="str">
        <f>TEXT(tblBelgaumOrders[[#This Row],[Order_Date]],"mmm")</f>
        <v>Nov</v>
      </c>
      <c r="D65" t="s">
        <v>50</v>
      </c>
      <c r="E65" t="s">
        <v>2</v>
      </c>
      <c r="F65" t="s">
        <v>40</v>
      </c>
      <c r="G65" t="s">
        <v>17</v>
      </c>
      <c r="H65" t="s">
        <v>5</v>
      </c>
      <c r="I65" t="s">
        <v>11</v>
      </c>
      <c r="J65">
        <v>10</v>
      </c>
      <c r="K65" s="3">
        <v>0</v>
      </c>
      <c r="L65" s="3">
        <f>tblBelgaumOrders[[#This Row],[Quantity]]*tblBelgaumOrders[[#This Row],[Order_Amount]]</f>
        <v>0</v>
      </c>
    </row>
    <row r="66" spans="1:12" x14ac:dyDescent="0.3">
      <c r="A66" t="s">
        <v>107</v>
      </c>
      <c r="B66" s="2">
        <v>45835</v>
      </c>
      <c r="C66" s="2" t="str">
        <f>TEXT(tblBelgaumOrders[[#This Row],[Order_Date]],"mmm")</f>
        <v>Jun</v>
      </c>
      <c r="D66" t="s">
        <v>39</v>
      </c>
      <c r="E66" t="s">
        <v>2</v>
      </c>
      <c r="F66" t="s">
        <v>51</v>
      </c>
      <c r="G66" t="s">
        <v>4</v>
      </c>
      <c r="H66" t="s">
        <v>10</v>
      </c>
      <c r="I66" t="s">
        <v>18</v>
      </c>
      <c r="J66">
        <v>8</v>
      </c>
      <c r="K66" s="3">
        <v>11711.86</v>
      </c>
      <c r="L66" s="3">
        <f>tblBelgaumOrders[[#This Row],[Quantity]]*tblBelgaumOrders[[#This Row],[Order_Amount]]</f>
        <v>93694.88</v>
      </c>
    </row>
    <row r="67" spans="1:12" x14ac:dyDescent="0.3">
      <c r="A67" t="s">
        <v>108</v>
      </c>
      <c r="B67" s="2">
        <v>45983</v>
      </c>
      <c r="C67" s="2" t="str">
        <f>TEXT(tblBelgaumOrders[[#This Row],[Order_Date]],"mmm")</f>
        <v>Nov</v>
      </c>
      <c r="D67" t="s">
        <v>32</v>
      </c>
      <c r="E67" t="s">
        <v>14</v>
      </c>
      <c r="F67" t="s">
        <v>77</v>
      </c>
      <c r="G67" t="s">
        <v>15</v>
      </c>
      <c r="H67" t="s">
        <v>63</v>
      </c>
      <c r="I67" t="s">
        <v>11</v>
      </c>
      <c r="J67">
        <v>23</v>
      </c>
      <c r="K67" s="3">
        <v>26543.05</v>
      </c>
      <c r="L67" s="3">
        <f>tblBelgaumOrders[[#This Row],[Quantity]]*tblBelgaumOrders[[#This Row],[Order_Amount]]</f>
        <v>610490.15</v>
      </c>
    </row>
    <row r="68" spans="1:12" x14ac:dyDescent="0.3">
      <c r="A68" t="s">
        <v>109</v>
      </c>
      <c r="B68" s="2">
        <v>45896</v>
      </c>
      <c r="C68" s="2" t="str">
        <f>TEXT(tblBelgaumOrders[[#This Row],[Order_Date]],"mmm")</f>
        <v>Aug</v>
      </c>
      <c r="D68" t="s">
        <v>79</v>
      </c>
      <c r="E68" t="s">
        <v>14</v>
      </c>
      <c r="F68" t="s">
        <v>37</v>
      </c>
      <c r="G68" t="s">
        <v>4</v>
      </c>
      <c r="H68" t="s">
        <v>10</v>
      </c>
      <c r="I68" t="s">
        <v>46</v>
      </c>
      <c r="J68">
        <v>14</v>
      </c>
      <c r="K68" s="3">
        <v>3939.25</v>
      </c>
      <c r="L68" s="3">
        <f>tblBelgaumOrders[[#This Row],[Quantity]]*tblBelgaumOrders[[#This Row],[Order_Amount]]</f>
        <v>55149.5</v>
      </c>
    </row>
    <row r="69" spans="1:12" x14ac:dyDescent="0.3">
      <c r="A69" t="s">
        <v>110</v>
      </c>
      <c r="B69" s="2">
        <v>45782</v>
      </c>
      <c r="C69" s="2" t="str">
        <f>TEXT(tblBelgaumOrders[[#This Row],[Order_Date]],"mmm")</f>
        <v>May</v>
      </c>
      <c r="D69" t="s">
        <v>32</v>
      </c>
      <c r="E69" t="s">
        <v>2</v>
      </c>
      <c r="F69" t="s">
        <v>26</v>
      </c>
      <c r="G69" t="s">
        <v>4</v>
      </c>
      <c r="H69" t="s">
        <v>10</v>
      </c>
      <c r="I69" t="s">
        <v>11</v>
      </c>
      <c r="J69">
        <v>8</v>
      </c>
      <c r="K69" s="3">
        <v>3789.81</v>
      </c>
      <c r="L69" s="3">
        <f>tblBelgaumOrders[[#This Row],[Quantity]]*tblBelgaumOrders[[#This Row],[Order_Amount]]</f>
        <v>30318.48</v>
      </c>
    </row>
    <row r="70" spans="1:12" x14ac:dyDescent="0.3">
      <c r="A70" t="s">
        <v>111</v>
      </c>
      <c r="B70" s="2">
        <v>45790</v>
      </c>
      <c r="C70" s="2" t="str">
        <f>TEXT(tblBelgaumOrders[[#This Row],[Order_Date]],"mmm")</f>
        <v>May</v>
      </c>
      <c r="D70" t="s">
        <v>53</v>
      </c>
      <c r="E70" t="s">
        <v>2</v>
      </c>
      <c r="F70" t="s">
        <v>37</v>
      </c>
      <c r="G70" t="s">
        <v>17</v>
      </c>
      <c r="H70" t="s">
        <v>10</v>
      </c>
      <c r="I70" t="s">
        <v>6</v>
      </c>
      <c r="J70">
        <v>4</v>
      </c>
      <c r="K70" s="3">
        <v>0</v>
      </c>
      <c r="L70" s="3">
        <f>tblBelgaumOrders[[#This Row],[Quantity]]*tblBelgaumOrders[[#This Row],[Order_Amount]]</f>
        <v>0</v>
      </c>
    </row>
    <row r="71" spans="1:12" x14ac:dyDescent="0.3">
      <c r="A71" t="s">
        <v>112</v>
      </c>
      <c r="B71" s="2">
        <v>45866</v>
      </c>
      <c r="C71" s="2" t="str">
        <f>TEXT(tblBelgaumOrders[[#This Row],[Order_Date]],"mmm")</f>
        <v>Jul</v>
      </c>
      <c r="D71" t="s">
        <v>55</v>
      </c>
      <c r="E71" t="s">
        <v>2</v>
      </c>
      <c r="F71" t="s">
        <v>3</v>
      </c>
      <c r="G71" t="s">
        <v>4</v>
      </c>
      <c r="H71" t="s">
        <v>5</v>
      </c>
      <c r="I71" t="s">
        <v>11</v>
      </c>
      <c r="J71">
        <v>1</v>
      </c>
      <c r="K71" s="3">
        <v>209.52</v>
      </c>
      <c r="L71" s="3">
        <f>tblBelgaumOrders[[#This Row],[Quantity]]*tblBelgaumOrders[[#This Row],[Order_Amount]]</f>
        <v>209.52</v>
      </c>
    </row>
    <row r="72" spans="1:12" x14ac:dyDescent="0.3">
      <c r="A72" t="s">
        <v>113</v>
      </c>
      <c r="B72" s="2">
        <v>45771</v>
      </c>
      <c r="C72" s="2" t="str">
        <f>TEXT(tblBelgaumOrders[[#This Row],[Order_Date]],"mmm")</f>
        <v>Apr</v>
      </c>
      <c r="D72" t="s">
        <v>29</v>
      </c>
      <c r="E72" t="s">
        <v>14</v>
      </c>
      <c r="F72" t="s">
        <v>3</v>
      </c>
      <c r="G72" t="s">
        <v>4</v>
      </c>
      <c r="H72" t="s">
        <v>10</v>
      </c>
      <c r="I72" t="s">
        <v>6</v>
      </c>
      <c r="J72">
        <v>19</v>
      </c>
      <c r="K72" s="3">
        <v>6659.02</v>
      </c>
      <c r="L72" s="3">
        <f>tblBelgaumOrders[[#This Row],[Quantity]]*tblBelgaumOrders[[#This Row],[Order_Amount]]</f>
        <v>126521.38</v>
      </c>
    </row>
    <row r="73" spans="1:12" x14ac:dyDescent="0.3">
      <c r="A73" t="s">
        <v>114</v>
      </c>
      <c r="B73" s="2">
        <v>45939</v>
      </c>
      <c r="C73" s="2" t="str">
        <f>TEXT(tblBelgaumOrders[[#This Row],[Order_Date]],"mmm")</f>
        <v>Oct</v>
      </c>
      <c r="D73" t="s">
        <v>53</v>
      </c>
      <c r="E73" t="s">
        <v>2</v>
      </c>
      <c r="F73" t="s">
        <v>77</v>
      </c>
      <c r="G73" t="s">
        <v>4</v>
      </c>
      <c r="H73" t="s">
        <v>10</v>
      </c>
      <c r="I73" t="s">
        <v>18</v>
      </c>
      <c r="J73">
        <v>6</v>
      </c>
      <c r="K73" s="3">
        <v>4683.88</v>
      </c>
      <c r="L73" s="3">
        <f>tblBelgaumOrders[[#This Row],[Quantity]]*tblBelgaumOrders[[#This Row],[Order_Amount]]</f>
        <v>28103.279999999999</v>
      </c>
    </row>
    <row r="74" spans="1:12" x14ac:dyDescent="0.3">
      <c r="A74" t="s">
        <v>115</v>
      </c>
      <c r="B74" s="2">
        <v>45932</v>
      </c>
      <c r="C74" s="2" t="str">
        <f>TEXT(tblBelgaumOrders[[#This Row],[Order_Date]],"mmm")</f>
        <v>Oct</v>
      </c>
      <c r="D74" t="s">
        <v>58</v>
      </c>
      <c r="E74" t="s">
        <v>2</v>
      </c>
      <c r="F74" t="s">
        <v>40</v>
      </c>
      <c r="G74" t="s">
        <v>4</v>
      </c>
      <c r="H74" t="s">
        <v>5</v>
      </c>
      <c r="I74" t="s">
        <v>18</v>
      </c>
      <c r="J74">
        <v>10</v>
      </c>
      <c r="K74" s="3">
        <v>1471.68</v>
      </c>
      <c r="L74" s="3">
        <f>tblBelgaumOrders[[#This Row],[Quantity]]*tblBelgaumOrders[[#This Row],[Order_Amount]]</f>
        <v>14716.800000000001</v>
      </c>
    </row>
    <row r="75" spans="1:12" x14ac:dyDescent="0.3">
      <c r="A75" t="s">
        <v>116</v>
      </c>
      <c r="B75" s="2">
        <v>45709</v>
      </c>
      <c r="C75" s="2" t="str">
        <f>TEXT(tblBelgaumOrders[[#This Row],[Order_Date]],"mmm")</f>
        <v>Feb</v>
      </c>
      <c r="D75" t="s">
        <v>48</v>
      </c>
      <c r="E75" t="s">
        <v>2</v>
      </c>
      <c r="F75" t="s">
        <v>51</v>
      </c>
      <c r="G75" t="s">
        <v>4</v>
      </c>
      <c r="H75" t="s">
        <v>5</v>
      </c>
      <c r="I75" t="s">
        <v>11</v>
      </c>
      <c r="J75">
        <v>1</v>
      </c>
      <c r="K75" s="3">
        <v>2402.2399999999998</v>
      </c>
      <c r="L75" s="3">
        <f>tblBelgaumOrders[[#This Row],[Quantity]]*tblBelgaumOrders[[#This Row],[Order_Amount]]</f>
        <v>2402.2399999999998</v>
      </c>
    </row>
    <row r="76" spans="1:12" x14ac:dyDescent="0.3">
      <c r="A76" t="s">
        <v>117</v>
      </c>
      <c r="B76" s="2">
        <v>45722</v>
      </c>
      <c r="C76" s="2" t="str">
        <f>TEXT(tblBelgaumOrders[[#This Row],[Order_Date]],"mmm")</f>
        <v>Mar</v>
      </c>
      <c r="D76" t="s">
        <v>55</v>
      </c>
      <c r="E76" t="s">
        <v>2</v>
      </c>
      <c r="F76" t="s">
        <v>9</v>
      </c>
      <c r="G76" t="s">
        <v>4</v>
      </c>
      <c r="H76" t="s">
        <v>10</v>
      </c>
      <c r="I76" t="s">
        <v>11</v>
      </c>
      <c r="J76">
        <v>1</v>
      </c>
      <c r="K76" s="3">
        <v>162.27000000000001</v>
      </c>
      <c r="L76" s="3">
        <f>tblBelgaumOrders[[#This Row],[Quantity]]*tblBelgaumOrders[[#This Row],[Order_Amount]]</f>
        <v>162.27000000000001</v>
      </c>
    </row>
    <row r="77" spans="1:12" x14ac:dyDescent="0.3">
      <c r="A77" t="s">
        <v>118</v>
      </c>
      <c r="B77" s="2">
        <v>45902</v>
      </c>
      <c r="C77" s="2" t="str">
        <f>TEXT(tblBelgaumOrders[[#This Row],[Order_Date]],"mmm")</f>
        <v>Sep</v>
      </c>
      <c r="D77" t="s">
        <v>1</v>
      </c>
      <c r="E77" t="s">
        <v>14</v>
      </c>
      <c r="F77" t="s">
        <v>77</v>
      </c>
      <c r="G77" t="s">
        <v>4</v>
      </c>
      <c r="H77" t="s">
        <v>5</v>
      </c>
      <c r="I77" t="s">
        <v>11</v>
      </c>
      <c r="J77">
        <v>10</v>
      </c>
      <c r="K77" s="3">
        <v>11748.51</v>
      </c>
      <c r="L77" s="3">
        <f>tblBelgaumOrders[[#This Row],[Quantity]]*tblBelgaumOrders[[#This Row],[Order_Amount]]</f>
        <v>117485.1</v>
      </c>
    </row>
    <row r="78" spans="1:12" x14ac:dyDescent="0.3">
      <c r="A78" t="s">
        <v>119</v>
      </c>
      <c r="B78" s="2">
        <v>45813</v>
      </c>
      <c r="C78" s="2" t="str">
        <f>TEXT(tblBelgaumOrders[[#This Row],[Order_Date]],"mmm")</f>
        <v>Jun</v>
      </c>
      <c r="D78" t="s">
        <v>20</v>
      </c>
      <c r="E78" t="s">
        <v>24</v>
      </c>
      <c r="F78" t="s">
        <v>9</v>
      </c>
      <c r="G78" t="s">
        <v>15</v>
      </c>
      <c r="H78" t="s">
        <v>5</v>
      </c>
      <c r="I78" t="s">
        <v>18</v>
      </c>
      <c r="J78">
        <v>10</v>
      </c>
      <c r="K78" s="3">
        <v>2421.96</v>
      </c>
      <c r="L78" s="3">
        <f>tblBelgaumOrders[[#This Row],[Quantity]]*tblBelgaumOrders[[#This Row],[Order_Amount]]</f>
        <v>24219.599999999999</v>
      </c>
    </row>
    <row r="79" spans="1:12" x14ac:dyDescent="0.3">
      <c r="A79" t="s">
        <v>120</v>
      </c>
      <c r="B79" s="2">
        <v>45884</v>
      </c>
      <c r="C79" s="2" t="str">
        <f>TEXT(tblBelgaumOrders[[#This Row],[Order_Date]],"mmm")</f>
        <v>Aug</v>
      </c>
      <c r="D79" t="s">
        <v>23</v>
      </c>
      <c r="E79" t="s">
        <v>14</v>
      </c>
      <c r="F79" t="s">
        <v>35</v>
      </c>
      <c r="G79" t="s">
        <v>4</v>
      </c>
      <c r="H79" t="s">
        <v>5</v>
      </c>
      <c r="I79" t="s">
        <v>6</v>
      </c>
      <c r="J79">
        <v>2</v>
      </c>
      <c r="K79" s="3">
        <v>8438.75</v>
      </c>
      <c r="L79" s="3">
        <f>tblBelgaumOrders[[#This Row],[Quantity]]*tblBelgaumOrders[[#This Row],[Order_Amount]]</f>
        <v>16877.5</v>
      </c>
    </row>
    <row r="80" spans="1:12" x14ac:dyDescent="0.3">
      <c r="A80" t="s">
        <v>121</v>
      </c>
      <c r="B80" s="2">
        <v>45793</v>
      </c>
      <c r="C80" s="2" t="str">
        <f>TEXT(tblBelgaumOrders[[#This Row],[Order_Date]],"mmm")</f>
        <v>May</v>
      </c>
      <c r="D80" t="s">
        <v>20</v>
      </c>
      <c r="E80" t="s">
        <v>2</v>
      </c>
      <c r="F80" t="s">
        <v>9</v>
      </c>
      <c r="G80" t="s">
        <v>4</v>
      </c>
      <c r="H80" t="s">
        <v>10</v>
      </c>
      <c r="I80" t="s">
        <v>11</v>
      </c>
      <c r="J80">
        <v>10</v>
      </c>
      <c r="K80" s="3">
        <v>1857.51</v>
      </c>
      <c r="L80" s="3">
        <f>tblBelgaumOrders[[#This Row],[Quantity]]*tblBelgaumOrders[[#This Row],[Order_Amount]]</f>
        <v>18575.099999999999</v>
      </c>
    </row>
    <row r="81" spans="1:12" x14ac:dyDescent="0.3">
      <c r="A81" t="s">
        <v>122</v>
      </c>
      <c r="B81" s="2">
        <v>45674</v>
      </c>
      <c r="C81" s="2" t="str">
        <f>TEXT(tblBelgaumOrders[[#This Row],[Order_Date]],"mmm")</f>
        <v>Jan</v>
      </c>
      <c r="D81" t="s">
        <v>50</v>
      </c>
      <c r="E81" t="s">
        <v>2</v>
      </c>
      <c r="F81" t="s">
        <v>3</v>
      </c>
      <c r="G81" t="s">
        <v>17</v>
      </c>
      <c r="H81" t="s">
        <v>10</v>
      </c>
      <c r="I81" t="s">
        <v>11</v>
      </c>
      <c r="J81">
        <v>5</v>
      </c>
      <c r="K81" s="3">
        <v>0</v>
      </c>
      <c r="L81" s="3">
        <f>tblBelgaumOrders[[#This Row],[Quantity]]*tblBelgaumOrders[[#This Row],[Order_Amount]]</f>
        <v>0</v>
      </c>
    </row>
    <row r="82" spans="1:12" x14ac:dyDescent="0.3">
      <c r="A82" t="s">
        <v>123</v>
      </c>
      <c r="B82" s="2">
        <v>45978</v>
      </c>
      <c r="C82" s="2" t="str">
        <f>TEXT(tblBelgaumOrders[[#This Row],[Order_Date]],"mmm")</f>
        <v>Nov</v>
      </c>
      <c r="D82" t="s">
        <v>48</v>
      </c>
      <c r="E82" t="s">
        <v>2</v>
      </c>
      <c r="F82" t="s">
        <v>37</v>
      </c>
      <c r="G82" t="s">
        <v>4</v>
      </c>
      <c r="H82" t="s">
        <v>63</v>
      </c>
      <c r="I82" t="s">
        <v>18</v>
      </c>
      <c r="J82">
        <v>2</v>
      </c>
      <c r="K82" s="3">
        <v>345.74</v>
      </c>
      <c r="L82" s="3">
        <f>tblBelgaumOrders[[#This Row],[Quantity]]*tblBelgaumOrders[[#This Row],[Order_Amount]]</f>
        <v>691.48</v>
      </c>
    </row>
    <row r="83" spans="1:12" x14ac:dyDescent="0.3">
      <c r="A83" t="s">
        <v>124</v>
      </c>
      <c r="B83" s="2">
        <v>45815</v>
      </c>
      <c r="C83" s="2" t="str">
        <f>TEXT(tblBelgaumOrders[[#This Row],[Order_Date]],"mmm")</f>
        <v>Jun</v>
      </c>
      <c r="D83" t="s">
        <v>23</v>
      </c>
      <c r="E83" t="s">
        <v>2</v>
      </c>
      <c r="F83" t="s">
        <v>77</v>
      </c>
      <c r="G83" t="s">
        <v>4</v>
      </c>
      <c r="H83" t="s">
        <v>10</v>
      </c>
      <c r="I83" t="s">
        <v>11</v>
      </c>
      <c r="J83">
        <v>9</v>
      </c>
      <c r="K83" s="3">
        <v>8945.67</v>
      </c>
      <c r="L83" s="3">
        <f>tblBelgaumOrders[[#This Row],[Quantity]]*tblBelgaumOrders[[#This Row],[Order_Amount]]</f>
        <v>80511.03</v>
      </c>
    </row>
    <row r="84" spans="1:12" x14ac:dyDescent="0.3">
      <c r="A84" t="s">
        <v>125</v>
      </c>
      <c r="B84" s="2">
        <v>45699</v>
      </c>
      <c r="C84" s="2" t="str">
        <f>TEXT(tblBelgaumOrders[[#This Row],[Order_Date]],"mmm")</f>
        <v>Feb</v>
      </c>
      <c r="D84" t="s">
        <v>8</v>
      </c>
      <c r="E84" t="s">
        <v>14</v>
      </c>
      <c r="F84" t="s">
        <v>40</v>
      </c>
      <c r="G84" t="s">
        <v>4</v>
      </c>
      <c r="H84" t="s">
        <v>10</v>
      </c>
      <c r="I84" t="s">
        <v>11</v>
      </c>
      <c r="J84">
        <v>24</v>
      </c>
      <c r="K84" s="3">
        <v>4232.7299999999996</v>
      </c>
      <c r="L84" s="3">
        <f>tblBelgaumOrders[[#This Row],[Quantity]]*tblBelgaumOrders[[#This Row],[Order_Amount]]</f>
        <v>101585.51999999999</v>
      </c>
    </row>
    <row r="85" spans="1:12" x14ac:dyDescent="0.3">
      <c r="A85" t="s">
        <v>126</v>
      </c>
      <c r="B85" s="2">
        <v>45668</v>
      </c>
      <c r="C85" s="2" t="str">
        <f>TEXT(tblBelgaumOrders[[#This Row],[Order_Date]],"mmm")</f>
        <v>Jan</v>
      </c>
      <c r="D85" t="s">
        <v>13</v>
      </c>
      <c r="E85" t="s">
        <v>2</v>
      </c>
      <c r="F85" t="s">
        <v>40</v>
      </c>
      <c r="G85" t="s">
        <v>4</v>
      </c>
      <c r="H85" t="s">
        <v>10</v>
      </c>
      <c r="I85" t="s">
        <v>11</v>
      </c>
      <c r="J85">
        <v>5</v>
      </c>
      <c r="K85" s="3">
        <v>687.11</v>
      </c>
      <c r="L85" s="3">
        <f>tblBelgaumOrders[[#This Row],[Quantity]]*tblBelgaumOrders[[#This Row],[Order_Amount]]</f>
        <v>3435.55</v>
      </c>
    </row>
    <row r="86" spans="1:12" x14ac:dyDescent="0.3">
      <c r="A86" t="s">
        <v>127</v>
      </c>
      <c r="B86" s="2">
        <v>45957</v>
      </c>
      <c r="C86" s="2" t="str">
        <f>TEXT(tblBelgaumOrders[[#This Row],[Order_Date]],"mmm")</f>
        <v>Oct</v>
      </c>
      <c r="D86" t="s">
        <v>79</v>
      </c>
      <c r="E86" t="s">
        <v>14</v>
      </c>
      <c r="F86" t="s">
        <v>37</v>
      </c>
      <c r="G86" t="s">
        <v>4</v>
      </c>
      <c r="H86" t="s">
        <v>10</v>
      </c>
      <c r="I86" t="s">
        <v>11</v>
      </c>
      <c r="J86">
        <v>9</v>
      </c>
      <c r="K86" s="3">
        <v>2503.9899999999998</v>
      </c>
      <c r="L86" s="3">
        <f>tblBelgaumOrders[[#This Row],[Quantity]]*tblBelgaumOrders[[#This Row],[Order_Amount]]</f>
        <v>22535.909999999996</v>
      </c>
    </row>
    <row r="87" spans="1:12" x14ac:dyDescent="0.3">
      <c r="A87" t="s">
        <v>128</v>
      </c>
      <c r="B87" s="2">
        <v>45826</v>
      </c>
      <c r="C87" s="2" t="str">
        <f>TEXT(tblBelgaumOrders[[#This Row],[Order_Date]],"mmm")</f>
        <v>Jun</v>
      </c>
      <c r="D87" t="s">
        <v>79</v>
      </c>
      <c r="E87" t="s">
        <v>14</v>
      </c>
      <c r="F87" t="s">
        <v>3</v>
      </c>
      <c r="G87" t="s">
        <v>30</v>
      </c>
      <c r="H87" t="s">
        <v>5</v>
      </c>
      <c r="I87" t="s">
        <v>6</v>
      </c>
      <c r="J87">
        <v>20</v>
      </c>
      <c r="K87" s="3">
        <v>4174.75</v>
      </c>
      <c r="L87" s="3">
        <f>tblBelgaumOrders[[#This Row],[Quantity]]*tblBelgaumOrders[[#This Row],[Order_Amount]]</f>
        <v>83495</v>
      </c>
    </row>
    <row r="88" spans="1:12" x14ac:dyDescent="0.3">
      <c r="A88" t="s">
        <v>129</v>
      </c>
      <c r="B88" s="2">
        <v>45787</v>
      </c>
      <c r="C88" s="2" t="str">
        <f>TEXT(tblBelgaumOrders[[#This Row],[Order_Date]],"mmm")</f>
        <v>May</v>
      </c>
      <c r="D88" t="s">
        <v>53</v>
      </c>
      <c r="E88" t="s">
        <v>2</v>
      </c>
      <c r="F88" t="s">
        <v>40</v>
      </c>
      <c r="G88" t="s">
        <v>17</v>
      </c>
      <c r="H88" t="s">
        <v>5</v>
      </c>
      <c r="I88" t="s">
        <v>11</v>
      </c>
      <c r="J88">
        <v>9</v>
      </c>
      <c r="K88" s="3">
        <v>0</v>
      </c>
      <c r="L88" s="3">
        <f>tblBelgaumOrders[[#This Row],[Quantity]]*tblBelgaumOrders[[#This Row],[Order_Amount]]</f>
        <v>0</v>
      </c>
    </row>
    <row r="89" spans="1:12" x14ac:dyDescent="0.3">
      <c r="A89" t="s">
        <v>130</v>
      </c>
      <c r="B89" s="2">
        <v>45685</v>
      </c>
      <c r="C89" s="2" t="str">
        <f>TEXT(tblBelgaumOrders[[#This Row],[Order_Date]],"mmm")</f>
        <v>Jan</v>
      </c>
      <c r="D89" t="s">
        <v>48</v>
      </c>
      <c r="E89" t="s">
        <v>2</v>
      </c>
      <c r="F89" t="s">
        <v>26</v>
      </c>
      <c r="G89" t="s">
        <v>4</v>
      </c>
      <c r="H89" t="s">
        <v>10</v>
      </c>
      <c r="I89" t="s">
        <v>11</v>
      </c>
      <c r="J89">
        <v>5</v>
      </c>
      <c r="K89" s="3">
        <v>2914.74</v>
      </c>
      <c r="L89" s="3">
        <f>tblBelgaumOrders[[#This Row],[Quantity]]*tblBelgaumOrders[[#This Row],[Order_Amount]]</f>
        <v>14573.699999999999</v>
      </c>
    </row>
    <row r="90" spans="1:12" x14ac:dyDescent="0.3">
      <c r="A90" t="s">
        <v>131</v>
      </c>
      <c r="B90" s="2">
        <v>45805</v>
      </c>
      <c r="C90" s="2" t="str">
        <f>TEXT(tblBelgaumOrders[[#This Row],[Order_Date]],"mmm")</f>
        <v>May</v>
      </c>
      <c r="D90" t="s">
        <v>32</v>
      </c>
      <c r="E90" t="s">
        <v>14</v>
      </c>
      <c r="F90" t="s">
        <v>77</v>
      </c>
      <c r="G90" t="s">
        <v>4</v>
      </c>
      <c r="H90" t="s">
        <v>5</v>
      </c>
      <c r="I90" t="s">
        <v>18</v>
      </c>
      <c r="J90">
        <v>11</v>
      </c>
      <c r="K90" s="3">
        <v>9785.9</v>
      </c>
      <c r="L90" s="3">
        <f>tblBelgaumOrders[[#This Row],[Quantity]]*tblBelgaumOrders[[#This Row],[Order_Amount]]</f>
        <v>107644.9</v>
      </c>
    </row>
    <row r="91" spans="1:12" x14ac:dyDescent="0.3">
      <c r="A91" t="s">
        <v>132</v>
      </c>
      <c r="B91" s="2">
        <v>45665</v>
      </c>
      <c r="C91" s="2" t="str">
        <f>TEXT(tblBelgaumOrders[[#This Row],[Order_Date]],"mmm")</f>
        <v>Jan</v>
      </c>
      <c r="D91" t="s">
        <v>39</v>
      </c>
      <c r="E91" t="s">
        <v>2</v>
      </c>
      <c r="F91" t="s">
        <v>3</v>
      </c>
      <c r="G91" t="s">
        <v>17</v>
      </c>
      <c r="H91" t="s">
        <v>10</v>
      </c>
      <c r="I91" t="s">
        <v>46</v>
      </c>
      <c r="J91">
        <v>3</v>
      </c>
      <c r="K91" s="3">
        <v>0</v>
      </c>
      <c r="L91" s="3">
        <f>tblBelgaumOrders[[#This Row],[Quantity]]*tblBelgaumOrders[[#This Row],[Order_Amount]]</f>
        <v>0</v>
      </c>
    </row>
    <row r="92" spans="1:12" x14ac:dyDescent="0.3">
      <c r="A92" t="s">
        <v>133</v>
      </c>
      <c r="B92" s="2">
        <v>45807</v>
      </c>
      <c r="C92" s="2" t="str">
        <f>TEXT(tblBelgaumOrders[[#This Row],[Order_Date]],"mmm")</f>
        <v>May</v>
      </c>
      <c r="D92" t="s">
        <v>42</v>
      </c>
      <c r="E92" t="s">
        <v>14</v>
      </c>
      <c r="F92" t="s">
        <v>77</v>
      </c>
      <c r="G92" t="s">
        <v>4</v>
      </c>
      <c r="H92" t="s">
        <v>10</v>
      </c>
      <c r="I92" t="s">
        <v>11</v>
      </c>
      <c r="J92">
        <v>10</v>
      </c>
      <c r="K92" s="3">
        <v>9311.44</v>
      </c>
      <c r="L92" s="3">
        <f>tblBelgaumOrders[[#This Row],[Quantity]]*tblBelgaumOrders[[#This Row],[Order_Amount]]</f>
        <v>93114.400000000009</v>
      </c>
    </row>
    <row r="93" spans="1:12" x14ac:dyDescent="0.3">
      <c r="A93" t="s">
        <v>134</v>
      </c>
      <c r="B93" s="2">
        <v>45964</v>
      </c>
      <c r="C93" s="2" t="str">
        <f>TEXT(tblBelgaumOrders[[#This Row],[Order_Date]],"mmm")</f>
        <v>Nov</v>
      </c>
      <c r="D93" t="s">
        <v>42</v>
      </c>
      <c r="E93" t="s">
        <v>14</v>
      </c>
      <c r="F93" t="s">
        <v>9</v>
      </c>
      <c r="G93" t="s">
        <v>4</v>
      </c>
      <c r="H93" t="s">
        <v>5</v>
      </c>
      <c r="I93" t="s">
        <v>18</v>
      </c>
      <c r="J93">
        <v>16</v>
      </c>
      <c r="K93" s="3">
        <v>3774.38</v>
      </c>
      <c r="L93" s="3">
        <f>tblBelgaumOrders[[#This Row],[Quantity]]*tblBelgaumOrders[[#This Row],[Order_Amount]]</f>
        <v>60390.080000000002</v>
      </c>
    </row>
    <row r="94" spans="1:12" x14ac:dyDescent="0.3">
      <c r="A94" t="s">
        <v>135</v>
      </c>
      <c r="B94" s="2">
        <v>45917</v>
      </c>
      <c r="C94" s="2" t="str">
        <f>TEXT(tblBelgaumOrders[[#This Row],[Order_Date]],"mmm")</f>
        <v>Sep</v>
      </c>
      <c r="D94" t="s">
        <v>13</v>
      </c>
      <c r="E94" t="s">
        <v>14</v>
      </c>
      <c r="F94" t="s">
        <v>3</v>
      </c>
      <c r="G94" t="s">
        <v>4</v>
      </c>
      <c r="H94" t="s">
        <v>5</v>
      </c>
      <c r="I94" t="s">
        <v>82</v>
      </c>
      <c r="J94">
        <v>21</v>
      </c>
      <c r="K94" s="3">
        <v>6929.59</v>
      </c>
      <c r="L94" s="3">
        <f>tblBelgaumOrders[[#This Row],[Quantity]]*tblBelgaumOrders[[#This Row],[Order_Amount]]</f>
        <v>145521.39000000001</v>
      </c>
    </row>
    <row r="95" spans="1:12" x14ac:dyDescent="0.3">
      <c r="A95" t="s">
        <v>136</v>
      </c>
      <c r="B95" s="2">
        <v>45886</v>
      </c>
      <c r="C95" s="2" t="str">
        <f>TEXT(tblBelgaumOrders[[#This Row],[Order_Date]],"mmm")</f>
        <v>Aug</v>
      </c>
      <c r="D95" t="s">
        <v>39</v>
      </c>
      <c r="E95" t="s">
        <v>2</v>
      </c>
      <c r="F95" t="s">
        <v>51</v>
      </c>
      <c r="G95" t="s">
        <v>15</v>
      </c>
      <c r="H95" t="s">
        <v>10</v>
      </c>
      <c r="I95" t="s">
        <v>46</v>
      </c>
      <c r="J95">
        <v>4</v>
      </c>
      <c r="K95" s="3">
        <v>9636.9500000000007</v>
      </c>
      <c r="L95" s="3">
        <f>tblBelgaumOrders[[#This Row],[Quantity]]*tblBelgaumOrders[[#This Row],[Order_Amount]]</f>
        <v>38547.800000000003</v>
      </c>
    </row>
    <row r="96" spans="1:12" x14ac:dyDescent="0.3">
      <c r="A96" t="s">
        <v>137</v>
      </c>
      <c r="B96" s="2">
        <v>45777</v>
      </c>
      <c r="C96" s="2" t="str">
        <f>TEXT(tblBelgaumOrders[[#This Row],[Order_Date]],"mmm")</f>
        <v>Apr</v>
      </c>
      <c r="D96" t="s">
        <v>79</v>
      </c>
      <c r="E96" t="s">
        <v>2</v>
      </c>
      <c r="F96" t="s">
        <v>40</v>
      </c>
      <c r="G96" t="s">
        <v>15</v>
      </c>
      <c r="H96" t="s">
        <v>5</v>
      </c>
      <c r="I96" t="s">
        <v>11</v>
      </c>
      <c r="J96">
        <v>3</v>
      </c>
      <c r="K96" s="3">
        <v>502.65</v>
      </c>
      <c r="L96" s="3">
        <f>tblBelgaumOrders[[#This Row],[Quantity]]*tblBelgaumOrders[[#This Row],[Order_Amount]]</f>
        <v>1507.9499999999998</v>
      </c>
    </row>
    <row r="97" spans="1:12" x14ac:dyDescent="0.3">
      <c r="A97" t="s">
        <v>138</v>
      </c>
      <c r="B97" s="2">
        <v>45676</v>
      </c>
      <c r="C97" s="2" t="str">
        <f>TEXT(tblBelgaumOrders[[#This Row],[Order_Date]],"mmm")</f>
        <v>Jan</v>
      </c>
      <c r="D97" t="s">
        <v>75</v>
      </c>
      <c r="E97" t="s">
        <v>2</v>
      </c>
      <c r="F97" t="s">
        <v>37</v>
      </c>
      <c r="G97" t="s">
        <v>17</v>
      </c>
      <c r="H97" t="s">
        <v>5</v>
      </c>
      <c r="I97" t="s">
        <v>11</v>
      </c>
      <c r="J97">
        <v>9</v>
      </c>
      <c r="K97" s="3">
        <v>0</v>
      </c>
      <c r="L97" s="3">
        <f>tblBelgaumOrders[[#This Row],[Quantity]]*tblBelgaumOrders[[#This Row],[Order_Amount]]</f>
        <v>0</v>
      </c>
    </row>
    <row r="98" spans="1:12" x14ac:dyDescent="0.3">
      <c r="A98" t="s">
        <v>139</v>
      </c>
      <c r="B98" s="2">
        <v>45665</v>
      </c>
      <c r="C98" s="2" t="str">
        <f>TEXT(tblBelgaumOrders[[#This Row],[Order_Date]],"mmm")</f>
        <v>Jan</v>
      </c>
      <c r="D98" t="s">
        <v>75</v>
      </c>
      <c r="E98" t="s">
        <v>2</v>
      </c>
      <c r="F98" t="s">
        <v>26</v>
      </c>
      <c r="G98" t="s">
        <v>4</v>
      </c>
      <c r="H98" t="s">
        <v>10</v>
      </c>
      <c r="I98" t="s">
        <v>82</v>
      </c>
      <c r="J98">
        <v>6</v>
      </c>
      <c r="K98" s="3">
        <v>3641.62</v>
      </c>
      <c r="L98" s="3">
        <f>tblBelgaumOrders[[#This Row],[Quantity]]*tblBelgaumOrders[[#This Row],[Order_Amount]]</f>
        <v>21849.72</v>
      </c>
    </row>
    <row r="99" spans="1:12" x14ac:dyDescent="0.3">
      <c r="A99" t="s">
        <v>140</v>
      </c>
      <c r="B99" s="2">
        <v>45861</v>
      </c>
      <c r="C99" s="2" t="str">
        <f>TEXT(tblBelgaumOrders[[#This Row],[Order_Date]],"mmm")</f>
        <v>Jul</v>
      </c>
      <c r="D99" t="s">
        <v>20</v>
      </c>
      <c r="E99" t="s">
        <v>14</v>
      </c>
      <c r="F99" t="s">
        <v>21</v>
      </c>
      <c r="G99" t="s">
        <v>17</v>
      </c>
      <c r="H99" t="s">
        <v>10</v>
      </c>
      <c r="I99" t="s">
        <v>11</v>
      </c>
      <c r="J99">
        <v>21</v>
      </c>
      <c r="K99" s="3">
        <v>0</v>
      </c>
      <c r="L99" s="3">
        <f>tblBelgaumOrders[[#This Row],[Quantity]]*tblBelgaumOrders[[#This Row],[Order_Amount]]</f>
        <v>0</v>
      </c>
    </row>
    <row r="100" spans="1:12" x14ac:dyDescent="0.3">
      <c r="A100" t="s">
        <v>141</v>
      </c>
      <c r="B100" s="2">
        <v>45676</v>
      </c>
      <c r="C100" s="2" t="str">
        <f>TEXT(tblBelgaumOrders[[#This Row],[Order_Date]],"mmm")</f>
        <v>Jan</v>
      </c>
      <c r="D100" t="s">
        <v>20</v>
      </c>
      <c r="E100" t="s">
        <v>2</v>
      </c>
      <c r="F100" t="s">
        <v>26</v>
      </c>
      <c r="G100" t="s">
        <v>4</v>
      </c>
      <c r="H100" t="s">
        <v>10</v>
      </c>
      <c r="I100" t="s">
        <v>11</v>
      </c>
      <c r="J100">
        <v>2</v>
      </c>
      <c r="K100" s="3">
        <v>1302.72</v>
      </c>
      <c r="L100" s="3">
        <f>tblBelgaumOrders[[#This Row],[Quantity]]*tblBelgaumOrders[[#This Row],[Order_Amount]]</f>
        <v>2605.44</v>
      </c>
    </row>
    <row r="101" spans="1:12" x14ac:dyDescent="0.3">
      <c r="A101" t="s">
        <v>142</v>
      </c>
      <c r="B101" s="2">
        <v>45709</v>
      </c>
      <c r="C101" s="2" t="str">
        <f>TEXT(tblBelgaumOrders[[#This Row],[Order_Date]],"mmm")</f>
        <v>Feb</v>
      </c>
      <c r="D101" t="s">
        <v>32</v>
      </c>
      <c r="E101" t="s">
        <v>2</v>
      </c>
      <c r="F101" t="s">
        <v>3</v>
      </c>
      <c r="G101" t="s">
        <v>4</v>
      </c>
      <c r="H101" t="s">
        <v>10</v>
      </c>
      <c r="I101" t="s">
        <v>11</v>
      </c>
      <c r="J101">
        <v>6</v>
      </c>
      <c r="K101" s="3">
        <v>1520.85</v>
      </c>
      <c r="L101" s="3">
        <f>tblBelgaumOrders[[#This Row],[Quantity]]*tblBelgaumOrders[[#This Row],[Order_Amount]]</f>
        <v>9125.0999999999985</v>
      </c>
    </row>
    <row r="102" spans="1:12" x14ac:dyDescent="0.3">
      <c r="A102" t="s">
        <v>143</v>
      </c>
      <c r="B102" s="2">
        <v>45732</v>
      </c>
      <c r="C102" s="2" t="str">
        <f>TEXT(tblBelgaumOrders[[#This Row],[Order_Date]],"mmm")</f>
        <v>Mar</v>
      </c>
      <c r="D102" t="s">
        <v>50</v>
      </c>
      <c r="E102" t="s">
        <v>2</v>
      </c>
      <c r="F102" t="s">
        <v>37</v>
      </c>
      <c r="G102" t="s">
        <v>15</v>
      </c>
      <c r="H102" t="s">
        <v>10</v>
      </c>
      <c r="I102" t="s">
        <v>11</v>
      </c>
      <c r="J102">
        <v>7</v>
      </c>
      <c r="K102" s="3">
        <v>1727.61</v>
      </c>
      <c r="L102" s="3">
        <f>tblBelgaumOrders[[#This Row],[Quantity]]*tblBelgaumOrders[[#This Row],[Order_Amount]]</f>
        <v>12093.269999999999</v>
      </c>
    </row>
    <row r="103" spans="1:12" x14ac:dyDescent="0.3">
      <c r="A103" t="s">
        <v>144</v>
      </c>
      <c r="B103" s="2">
        <v>45781</v>
      </c>
      <c r="C103" s="2" t="str">
        <f>TEXT(tblBelgaumOrders[[#This Row],[Order_Date]],"mmm")</f>
        <v>May</v>
      </c>
      <c r="D103" t="s">
        <v>55</v>
      </c>
      <c r="E103" t="s">
        <v>24</v>
      </c>
      <c r="F103" t="s">
        <v>9</v>
      </c>
      <c r="G103" t="s">
        <v>4</v>
      </c>
      <c r="H103" t="s">
        <v>10</v>
      </c>
      <c r="I103" t="s">
        <v>11</v>
      </c>
      <c r="J103">
        <v>3</v>
      </c>
      <c r="K103" s="3">
        <v>779.65</v>
      </c>
      <c r="L103" s="3">
        <f>tblBelgaumOrders[[#This Row],[Quantity]]*tblBelgaumOrders[[#This Row],[Order_Amount]]</f>
        <v>2338.9499999999998</v>
      </c>
    </row>
    <row r="104" spans="1:12" x14ac:dyDescent="0.3">
      <c r="A104" t="s">
        <v>145</v>
      </c>
      <c r="B104" s="2">
        <v>45805</v>
      </c>
      <c r="C104" s="2" t="str">
        <f>TEXT(tblBelgaumOrders[[#This Row],[Order_Date]],"mmm")</f>
        <v>May</v>
      </c>
      <c r="D104" t="s">
        <v>39</v>
      </c>
      <c r="E104" t="s">
        <v>2</v>
      </c>
      <c r="F104" t="s">
        <v>77</v>
      </c>
      <c r="G104" t="s">
        <v>4</v>
      </c>
      <c r="H104" t="s">
        <v>5</v>
      </c>
      <c r="I104" t="s">
        <v>6</v>
      </c>
      <c r="J104">
        <v>7</v>
      </c>
      <c r="K104" s="3">
        <v>7741.85</v>
      </c>
      <c r="L104" s="3">
        <f>tblBelgaumOrders[[#This Row],[Quantity]]*tblBelgaumOrders[[#This Row],[Order_Amount]]</f>
        <v>54192.950000000004</v>
      </c>
    </row>
    <row r="105" spans="1:12" x14ac:dyDescent="0.3">
      <c r="A105" t="s">
        <v>146</v>
      </c>
      <c r="B105" s="2">
        <v>45891</v>
      </c>
      <c r="C105" s="2" t="str">
        <f>TEXT(tblBelgaumOrders[[#This Row],[Order_Date]],"mmm")</f>
        <v>Aug</v>
      </c>
      <c r="D105" t="s">
        <v>23</v>
      </c>
      <c r="E105" t="s">
        <v>2</v>
      </c>
      <c r="F105" t="s">
        <v>51</v>
      </c>
      <c r="G105" t="s">
        <v>4</v>
      </c>
      <c r="H105" t="s">
        <v>10</v>
      </c>
      <c r="I105" t="s">
        <v>6</v>
      </c>
      <c r="J105">
        <v>10</v>
      </c>
      <c r="K105" s="3">
        <v>16695.419999999998</v>
      </c>
      <c r="L105" s="3">
        <f>tblBelgaumOrders[[#This Row],[Quantity]]*tblBelgaumOrders[[#This Row],[Order_Amount]]</f>
        <v>166954.19999999998</v>
      </c>
    </row>
    <row r="106" spans="1:12" x14ac:dyDescent="0.3">
      <c r="A106" t="s">
        <v>147</v>
      </c>
      <c r="B106" s="2">
        <v>45669</v>
      </c>
      <c r="C106" s="2" t="str">
        <f>TEXT(tblBelgaumOrders[[#This Row],[Order_Date]],"mmm")</f>
        <v>Jan</v>
      </c>
      <c r="D106" t="s">
        <v>29</v>
      </c>
      <c r="E106" t="s">
        <v>2</v>
      </c>
      <c r="F106" t="s">
        <v>37</v>
      </c>
      <c r="G106" t="s">
        <v>4</v>
      </c>
      <c r="H106" t="s">
        <v>5</v>
      </c>
      <c r="I106" t="s">
        <v>11</v>
      </c>
      <c r="J106">
        <v>10</v>
      </c>
      <c r="K106" s="3">
        <v>2633.63</v>
      </c>
      <c r="L106" s="3">
        <f>tblBelgaumOrders[[#This Row],[Quantity]]*tblBelgaumOrders[[#This Row],[Order_Amount]]</f>
        <v>26336.300000000003</v>
      </c>
    </row>
    <row r="107" spans="1:12" x14ac:dyDescent="0.3">
      <c r="A107" t="s">
        <v>148</v>
      </c>
      <c r="B107" s="2">
        <v>45804</v>
      </c>
      <c r="C107" s="2" t="str">
        <f>TEXT(tblBelgaumOrders[[#This Row],[Order_Date]],"mmm")</f>
        <v>May</v>
      </c>
      <c r="D107" t="s">
        <v>50</v>
      </c>
      <c r="E107" t="s">
        <v>2</v>
      </c>
      <c r="F107" t="s">
        <v>51</v>
      </c>
      <c r="G107" t="s">
        <v>4</v>
      </c>
      <c r="H107" t="s">
        <v>5</v>
      </c>
      <c r="I107" t="s">
        <v>6</v>
      </c>
      <c r="J107">
        <v>3</v>
      </c>
      <c r="K107" s="3">
        <v>6085.52</v>
      </c>
      <c r="L107" s="3">
        <f>tblBelgaumOrders[[#This Row],[Quantity]]*tblBelgaumOrders[[#This Row],[Order_Amount]]</f>
        <v>18256.560000000001</v>
      </c>
    </row>
    <row r="108" spans="1:12" x14ac:dyDescent="0.3">
      <c r="A108" t="s">
        <v>149</v>
      </c>
      <c r="B108" s="2">
        <v>45988</v>
      </c>
      <c r="C108" s="2" t="str">
        <f>TEXT(tblBelgaumOrders[[#This Row],[Order_Date]],"mmm")</f>
        <v>Nov</v>
      </c>
      <c r="D108" t="s">
        <v>8</v>
      </c>
      <c r="E108" t="s">
        <v>2</v>
      </c>
      <c r="F108" t="s">
        <v>77</v>
      </c>
      <c r="G108" t="s">
        <v>4</v>
      </c>
      <c r="H108" t="s">
        <v>5</v>
      </c>
      <c r="I108" t="s">
        <v>11</v>
      </c>
      <c r="J108">
        <v>5</v>
      </c>
      <c r="K108" s="3">
        <v>4493.6499999999996</v>
      </c>
      <c r="L108" s="3">
        <f>tblBelgaumOrders[[#This Row],[Quantity]]*tblBelgaumOrders[[#This Row],[Order_Amount]]</f>
        <v>22468.25</v>
      </c>
    </row>
    <row r="109" spans="1:12" x14ac:dyDescent="0.3">
      <c r="A109" t="s">
        <v>150</v>
      </c>
      <c r="B109" s="2">
        <v>45870</v>
      </c>
      <c r="C109" s="2" t="str">
        <f>TEXT(tblBelgaumOrders[[#This Row],[Order_Date]],"mmm")</f>
        <v>Aug</v>
      </c>
      <c r="D109" t="s">
        <v>58</v>
      </c>
      <c r="E109" t="s">
        <v>2</v>
      </c>
      <c r="F109" t="s">
        <v>40</v>
      </c>
      <c r="G109" t="s">
        <v>17</v>
      </c>
      <c r="H109" t="s">
        <v>10</v>
      </c>
      <c r="I109" t="s">
        <v>6</v>
      </c>
      <c r="J109">
        <v>5</v>
      </c>
      <c r="K109" s="3">
        <v>0</v>
      </c>
      <c r="L109" s="3">
        <f>tblBelgaumOrders[[#This Row],[Quantity]]*tblBelgaumOrders[[#This Row],[Order_Amount]]</f>
        <v>0</v>
      </c>
    </row>
    <row r="110" spans="1:12" x14ac:dyDescent="0.3">
      <c r="A110" t="s">
        <v>151</v>
      </c>
      <c r="B110" s="2">
        <v>45789</v>
      </c>
      <c r="C110" s="2" t="str">
        <f>TEXT(tblBelgaumOrders[[#This Row],[Order_Date]],"mmm")</f>
        <v>May</v>
      </c>
      <c r="D110" t="s">
        <v>55</v>
      </c>
      <c r="E110" t="s">
        <v>24</v>
      </c>
      <c r="F110" t="s">
        <v>3</v>
      </c>
      <c r="G110" t="s">
        <v>17</v>
      </c>
      <c r="H110" t="s">
        <v>5</v>
      </c>
      <c r="I110" t="s">
        <v>6</v>
      </c>
      <c r="J110">
        <v>5</v>
      </c>
      <c r="K110" s="3">
        <v>0</v>
      </c>
      <c r="L110" s="3">
        <f>tblBelgaumOrders[[#This Row],[Quantity]]*tblBelgaumOrders[[#This Row],[Order_Amount]]</f>
        <v>0</v>
      </c>
    </row>
    <row r="111" spans="1:12" x14ac:dyDescent="0.3">
      <c r="A111" t="s">
        <v>152</v>
      </c>
      <c r="B111" s="2">
        <v>46004</v>
      </c>
      <c r="C111" s="2" t="str">
        <f>TEXT(tblBelgaumOrders[[#This Row],[Order_Date]],"mmm")</f>
        <v>Dec</v>
      </c>
      <c r="D111" t="s">
        <v>29</v>
      </c>
      <c r="E111" t="s">
        <v>24</v>
      </c>
      <c r="F111" t="s">
        <v>21</v>
      </c>
      <c r="G111" t="s">
        <v>4</v>
      </c>
      <c r="H111" t="s">
        <v>5</v>
      </c>
      <c r="I111" t="s">
        <v>11</v>
      </c>
      <c r="J111">
        <v>6</v>
      </c>
      <c r="K111" s="3">
        <v>847.62</v>
      </c>
      <c r="L111" s="3">
        <f>tblBelgaumOrders[[#This Row],[Quantity]]*tblBelgaumOrders[[#This Row],[Order_Amount]]</f>
        <v>5085.72</v>
      </c>
    </row>
    <row r="112" spans="1:12" x14ac:dyDescent="0.3">
      <c r="A112" t="s">
        <v>153</v>
      </c>
      <c r="B112" s="2">
        <v>46002</v>
      </c>
      <c r="C112" s="2" t="str">
        <f>TEXT(tblBelgaumOrders[[#This Row],[Order_Date]],"mmm")</f>
        <v>Dec</v>
      </c>
      <c r="D112" t="s">
        <v>13</v>
      </c>
      <c r="E112" t="s">
        <v>2</v>
      </c>
      <c r="F112" t="s">
        <v>21</v>
      </c>
      <c r="G112" t="s">
        <v>30</v>
      </c>
      <c r="H112" t="s">
        <v>10</v>
      </c>
      <c r="I112" t="s">
        <v>11</v>
      </c>
      <c r="J112">
        <v>1</v>
      </c>
      <c r="K112" s="3">
        <v>134.61000000000001</v>
      </c>
      <c r="L112" s="3">
        <f>tblBelgaumOrders[[#This Row],[Quantity]]*tblBelgaumOrders[[#This Row],[Order_Amount]]</f>
        <v>134.61000000000001</v>
      </c>
    </row>
    <row r="113" spans="1:12" x14ac:dyDescent="0.3">
      <c r="A113" t="s">
        <v>154</v>
      </c>
      <c r="B113" s="2">
        <v>45945</v>
      </c>
      <c r="C113" s="2" t="str">
        <f>TEXT(tblBelgaumOrders[[#This Row],[Order_Date]],"mmm")</f>
        <v>Oct</v>
      </c>
      <c r="D113" t="s">
        <v>53</v>
      </c>
      <c r="E113" t="s">
        <v>24</v>
      </c>
      <c r="F113" t="s">
        <v>3</v>
      </c>
      <c r="G113" t="s">
        <v>4</v>
      </c>
      <c r="H113" t="s">
        <v>5</v>
      </c>
      <c r="I113" t="s">
        <v>46</v>
      </c>
      <c r="J113">
        <v>12</v>
      </c>
      <c r="K113" s="3">
        <v>3795.37</v>
      </c>
      <c r="L113" s="3">
        <f>tblBelgaumOrders[[#This Row],[Quantity]]*tblBelgaumOrders[[#This Row],[Order_Amount]]</f>
        <v>45544.44</v>
      </c>
    </row>
    <row r="114" spans="1:12" x14ac:dyDescent="0.3">
      <c r="A114" t="s">
        <v>155</v>
      </c>
      <c r="B114" s="2">
        <v>45681</v>
      </c>
      <c r="C114" s="2" t="str">
        <f>TEXT(tblBelgaumOrders[[#This Row],[Order_Date]],"mmm")</f>
        <v>Jan</v>
      </c>
      <c r="D114" t="s">
        <v>8</v>
      </c>
      <c r="E114" t="s">
        <v>2</v>
      </c>
      <c r="F114" t="s">
        <v>37</v>
      </c>
      <c r="G114" t="s">
        <v>4</v>
      </c>
      <c r="H114" t="s">
        <v>5</v>
      </c>
      <c r="I114" t="s">
        <v>11</v>
      </c>
      <c r="J114">
        <v>8</v>
      </c>
      <c r="K114" s="3">
        <v>1711.79</v>
      </c>
      <c r="L114" s="3">
        <f>tblBelgaumOrders[[#This Row],[Quantity]]*tblBelgaumOrders[[#This Row],[Order_Amount]]</f>
        <v>13694.32</v>
      </c>
    </row>
    <row r="115" spans="1:12" x14ac:dyDescent="0.3">
      <c r="A115" t="s">
        <v>156</v>
      </c>
      <c r="B115" s="2">
        <v>45934</v>
      </c>
      <c r="C115" s="2" t="str">
        <f>TEXT(tblBelgaumOrders[[#This Row],[Order_Date]],"mmm")</f>
        <v>Oct</v>
      </c>
      <c r="D115" t="s">
        <v>79</v>
      </c>
      <c r="E115" t="s">
        <v>2</v>
      </c>
      <c r="F115" t="s">
        <v>40</v>
      </c>
      <c r="G115" t="s">
        <v>17</v>
      </c>
      <c r="H115" t="s">
        <v>5</v>
      </c>
      <c r="I115" t="s">
        <v>18</v>
      </c>
      <c r="J115">
        <v>10</v>
      </c>
      <c r="K115" s="3">
        <v>0</v>
      </c>
      <c r="L115" s="3">
        <f>tblBelgaumOrders[[#This Row],[Quantity]]*tblBelgaumOrders[[#This Row],[Order_Amount]]</f>
        <v>0</v>
      </c>
    </row>
    <row r="116" spans="1:12" x14ac:dyDescent="0.3">
      <c r="A116" t="s">
        <v>157</v>
      </c>
      <c r="B116" s="2">
        <v>45801</v>
      </c>
      <c r="C116" s="2" t="str">
        <f>TEXT(tblBelgaumOrders[[#This Row],[Order_Date]],"mmm")</f>
        <v>May</v>
      </c>
      <c r="D116" t="s">
        <v>8</v>
      </c>
      <c r="E116" t="s">
        <v>14</v>
      </c>
      <c r="F116" t="s">
        <v>9</v>
      </c>
      <c r="G116" t="s">
        <v>4</v>
      </c>
      <c r="H116" t="s">
        <v>10</v>
      </c>
      <c r="I116" t="s">
        <v>11</v>
      </c>
      <c r="J116">
        <v>17</v>
      </c>
      <c r="K116" s="3">
        <v>3294.64</v>
      </c>
      <c r="L116" s="3">
        <f>tblBelgaumOrders[[#This Row],[Quantity]]*tblBelgaumOrders[[#This Row],[Order_Amount]]</f>
        <v>56008.88</v>
      </c>
    </row>
    <row r="117" spans="1:12" x14ac:dyDescent="0.3">
      <c r="A117" t="s">
        <v>158</v>
      </c>
      <c r="B117" s="2">
        <v>45988</v>
      </c>
      <c r="C117" s="2" t="str">
        <f>TEXT(tblBelgaumOrders[[#This Row],[Order_Date]],"mmm")</f>
        <v>Nov</v>
      </c>
      <c r="D117" t="s">
        <v>34</v>
      </c>
      <c r="E117" t="s">
        <v>2</v>
      </c>
      <c r="F117" t="s">
        <v>3</v>
      </c>
      <c r="G117" t="s">
        <v>30</v>
      </c>
      <c r="H117" t="s">
        <v>63</v>
      </c>
      <c r="I117" t="s">
        <v>18</v>
      </c>
      <c r="J117">
        <v>2</v>
      </c>
      <c r="K117" s="3">
        <v>596.78</v>
      </c>
      <c r="L117" s="3">
        <f>tblBelgaumOrders[[#This Row],[Quantity]]*tblBelgaumOrders[[#This Row],[Order_Amount]]</f>
        <v>1193.56</v>
      </c>
    </row>
    <row r="118" spans="1:12" x14ac:dyDescent="0.3">
      <c r="A118" t="s">
        <v>159</v>
      </c>
      <c r="B118" s="2">
        <v>45986</v>
      </c>
      <c r="C118" s="2" t="str">
        <f>TEXT(tblBelgaumOrders[[#This Row],[Order_Date]],"mmm")</f>
        <v>Nov</v>
      </c>
      <c r="D118" t="s">
        <v>67</v>
      </c>
      <c r="E118" t="s">
        <v>2</v>
      </c>
      <c r="F118" t="s">
        <v>51</v>
      </c>
      <c r="G118" t="s">
        <v>30</v>
      </c>
      <c r="H118" t="s">
        <v>5</v>
      </c>
      <c r="I118" t="s">
        <v>11</v>
      </c>
      <c r="J118">
        <v>2</v>
      </c>
      <c r="K118" s="3">
        <v>3147.46</v>
      </c>
      <c r="L118" s="3">
        <f>tblBelgaumOrders[[#This Row],[Quantity]]*tblBelgaumOrders[[#This Row],[Order_Amount]]</f>
        <v>6294.92</v>
      </c>
    </row>
    <row r="119" spans="1:12" x14ac:dyDescent="0.3">
      <c r="A119" t="s">
        <v>160</v>
      </c>
      <c r="B119" s="2">
        <v>45826</v>
      </c>
      <c r="C119" s="2" t="str">
        <f>TEXT(tblBelgaumOrders[[#This Row],[Order_Date]],"mmm")</f>
        <v>Jun</v>
      </c>
      <c r="D119" t="s">
        <v>75</v>
      </c>
      <c r="E119" t="s">
        <v>14</v>
      </c>
      <c r="F119" t="s">
        <v>37</v>
      </c>
      <c r="G119" t="s">
        <v>4</v>
      </c>
      <c r="H119" t="s">
        <v>63</v>
      </c>
      <c r="I119" t="s">
        <v>82</v>
      </c>
      <c r="J119">
        <v>23</v>
      </c>
      <c r="K119" s="3">
        <v>4555.99</v>
      </c>
      <c r="L119" s="3">
        <f>tblBelgaumOrders[[#This Row],[Quantity]]*tblBelgaumOrders[[#This Row],[Order_Amount]]</f>
        <v>104787.76999999999</v>
      </c>
    </row>
    <row r="120" spans="1:12" x14ac:dyDescent="0.3">
      <c r="A120" t="s">
        <v>161</v>
      </c>
      <c r="B120" s="2">
        <v>45747</v>
      </c>
      <c r="C120" s="2" t="str">
        <f>TEXT(tblBelgaumOrders[[#This Row],[Order_Date]],"mmm")</f>
        <v>Mar</v>
      </c>
      <c r="D120" t="s">
        <v>1</v>
      </c>
      <c r="E120" t="s">
        <v>14</v>
      </c>
      <c r="F120" t="s">
        <v>9</v>
      </c>
      <c r="G120" t="s">
        <v>4</v>
      </c>
      <c r="H120" t="s">
        <v>5</v>
      </c>
      <c r="I120" t="s">
        <v>11</v>
      </c>
      <c r="J120">
        <v>16</v>
      </c>
      <c r="K120" s="3">
        <v>2187.27</v>
      </c>
      <c r="L120" s="3">
        <f>tblBelgaumOrders[[#This Row],[Quantity]]*tblBelgaumOrders[[#This Row],[Order_Amount]]</f>
        <v>34996.32</v>
      </c>
    </row>
    <row r="121" spans="1:12" x14ac:dyDescent="0.3">
      <c r="A121" t="s">
        <v>162</v>
      </c>
      <c r="B121" s="2">
        <v>45793</v>
      </c>
      <c r="C121" s="2" t="str">
        <f>TEXT(tblBelgaumOrders[[#This Row],[Order_Date]],"mmm")</f>
        <v>May</v>
      </c>
      <c r="D121" t="s">
        <v>8</v>
      </c>
      <c r="E121" t="s">
        <v>2</v>
      </c>
      <c r="F121" t="s">
        <v>77</v>
      </c>
      <c r="G121" t="s">
        <v>4</v>
      </c>
      <c r="H121" t="s">
        <v>10</v>
      </c>
      <c r="I121" t="s">
        <v>11</v>
      </c>
      <c r="J121">
        <v>6</v>
      </c>
      <c r="K121" s="3">
        <v>6030.27</v>
      </c>
      <c r="L121" s="3">
        <f>tblBelgaumOrders[[#This Row],[Quantity]]*tblBelgaumOrders[[#This Row],[Order_Amount]]</f>
        <v>36181.620000000003</v>
      </c>
    </row>
    <row r="122" spans="1:12" x14ac:dyDescent="0.3">
      <c r="A122" t="s">
        <v>163</v>
      </c>
      <c r="B122" s="2">
        <v>45713</v>
      </c>
      <c r="C122" s="2" t="str">
        <f>TEXT(tblBelgaumOrders[[#This Row],[Order_Date]],"mmm")</f>
        <v>Feb</v>
      </c>
      <c r="D122" t="s">
        <v>32</v>
      </c>
      <c r="E122" t="s">
        <v>2</v>
      </c>
      <c r="F122" t="s">
        <v>35</v>
      </c>
      <c r="G122" t="s">
        <v>4</v>
      </c>
      <c r="H122" t="s">
        <v>5</v>
      </c>
      <c r="I122" t="s">
        <v>18</v>
      </c>
      <c r="J122">
        <v>9</v>
      </c>
      <c r="K122" s="3">
        <v>26812.17</v>
      </c>
      <c r="L122" s="3">
        <f>tblBelgaumOrders[[#This Row],[Quantity]]*tblBelgaumOrders[[#This Row],[Order_Amount]]</f>
        <v>241309.52999999997</v>
      </c>
    </row>
    <row r="123" spans="1:12" x14ac:dyDescent="0.3">
      <c r="A123" t="s">
        <v>164</v>
      </c>
      <c r="B123" s="2">
        <v>45673</v>
      </c>
      <c r="C123" s="2" t="str">
        <f>TEXT(tblBelgaumOrders[[#This Row],[Order_Date]],"mmm")</f>
        <v>Jan</v>
      </c>
      <c r="D123" t="s">
        <v>8</v>
      </c>
      <c r="E123" t="s">
        <v>24</v>
      </c>
      <c r="F123" t="s">
        <v>21</v>
      </c>
      <c r="G123" t="s">
        <v>4</v>
      </c>
      <c r="H123" t="s">
        <v>10</v>
      </c>
      <c r="I123" t="s">
        <v>6</v>
      </c>
      <c r="J123">
        <v>17</v>
      </c>
      <c r="K123" s="3">
        <v>1720.58</v>
      </c>
      <c r="L123" s="3">
        <f>tblBelgaumOrders[[#This Row],[Quantity]]*tblBelgaumOrders[[#This Row],[Order_Amount]]</f>
        <v>29249.86</v>
      </c>
    </row>
    <row r="124" spans="1:12" x14ac:dyDescent="0.3">
      <c r="A124" t="s">
        <v>165</v>
      </c>
      <c r="B124" s="2">
        <v>45969</v>
      </c>
      <c r="C124" s="2" t="str">
        <f>TEXT(tblBelgaumOrders[[#This Row],[Order_Date]],"mmm")</f>
        <v>Nov</v>
      </c>
      <c r="D124" t="s">
        <v>75</v>
      </c>
      <c r="E124" t="s">
        <v>2</v>
      </c>
      <c r="F124" t="s">
        <v>3</v>
      </c>
      <c r="G124" t="s">
        <v>4</v>
      </c>
      <c r="H124" t="s">
        <v>10</v>
      </c>
      <c r="I124" t="s">
        <v>11</v>
      </c>
      <c r="J124">
        <v>10</v>
      </c>
      <c r="K124" s="3">
        <v>2777.67</v>
      </c>
      <c r="L124" s="3">
        <f>tblBelgaumOrders[[#This Row],[Quantity]]*tblBelgaumOrders[[#This Row],[Order_Amount]]</f>
        <v>27776.7</v>
      </c>
    </row>
    <row r="125" spans="1:12" x14ac:dyDescent="0.3">
      <c r="A125" t="s">
        <v>166</v>
      </c>
      <c r="B125" s="2">
        <v>45890</v>
      </c>
      <c r="C125" s="2" t="str">
        <f>TEXT(tblBelgaumOrders[[#This Row],[Order_Date]],"mmm")</f>
        <v>Aug</v>
      </c>
      <c r="D125" t="s">
        <v>42</v>
      </c>
      <c r="E125" t="s">
        <v>2</v>
      </c>
      <c r="F125" t="s">
        <v>9</v>
      </c>
      <c r="G125" t="s">
        <v>15</v>
      </c>
      <c r="H125" t="s">
        <v>5</v>
      </c>
      <c r="I125" t="s">
        <v>6</v>
      </c>
      <c r="J125">
        <v>9</v>
      </c>
      <c r="K125" s="3">
        <v>1915.66</v>
      </c>
      <c r="L125" s="3">
        <f>tblBelgaumOrders[[#This Row],[Quantity]]*tblBelgaumOrders[[#This Row],[Order_Amount]]</f>
        <v>17240.940000000002</v>
      </c>
    </row>
    <row r="126" spans="1:12" x14ac:dyDescent="0.3">
      <c r="A126" t="s">
        <v>167</v>
      </c>
      <c r="B126" s="2">
        <v>45768</v>
      </c>
      <c r="C126" s="2" t="str">
        <f>TEXT(tblBelgaumOrders[[#This Row],[Order_Date]],"mmm")</f>
        <v>Apr</v>
      </c>
      <c r="D126" t="s">
        <v>79</v>
      </c>
      <c r="E126" t="s">
        <v>2</v>
      </c>
      <c r="F126" t="s">
        <v>3</v>
      </c>
      <c r="G126" t="s">
        <v>4</v>
      </c>
      <c r="H126" t="s">
        <v>10</v>
      </c>
      <c r="I126" t="s">
        <v>11</v>
      </c>
      <c r="J126">
        <v>2</v>
      </c>
      <c r="K126" s="3">
        <v>487.52</v>
      </c>
      <c r="L126" s="3">
        <f>tblBelgaumOrders[[#This Row],[Quantity]]*tblBelgaumOrders[[#This Row],[Order_Amount]]</f>
        <v>975.04</v>
      </c>
    </row>
    <row r="127" spans="1:12" x14ac:dyDescent="0.3">
      <c r="A127" t="s">
        <v>168</v>
      </c>
      <c r="B127" s="2">
        <v>45818</v>
      </c>
      <c r="C127" s="2" t="str">
        <f>TEXT(tblBelgaumOrders[[#This Row],[Order_Date]],"mmm")</f>
        <v>Jun</v>
      </c>
      <c r="D127" t="s">
        <v>13</v>
      </c>
      <c r="E127" t="s">
        <v>2</v>
      </c>
      <c r="F127" t="s">
        <v>9</v>
      </c>
      <c r="G127" t="s">
        <v>30</v>
      </c>
      <c r="H127" t="s">
        <v>10</v>
      </c>
      <c r="I127" t="s">
        <v>18</v>
      </c>
      <c r="J127">
        <v>2</v>
      </c>
      <c r="K127" s="3">
        <v>363.29</v>
      </c>
      <c r="L127" s="3">
        <f>tblBelgaumOrders[[#This Row],[Quantity]]*tblBelgaumOrders[[#This Row],[Order_Amount]]</f>
        <v>726.58</v>
      </c>
    </row>
    <row r="128" spans="1:12" x14ac:dyDescent="0.3">
      <c r="A128" t="s">
        <v>169</v>
      </c>
      <c r="B128" s="2">
        <v>45848</v>
      </c>
      <c r="C128" s="2" t="str">
        <f>TEXT(tblBelgaumOrders[[#This Row],[Order_Date]],"mmm")</f>
        <v>Jul</v>
      </c>
      <c r="D128" t="s">
        <v>75</v>
      </c>
      <c r="E128" t="s">
        <v>2</v>
      </c>
      <c r="F128" t="s">
        <v>37</v>
      </c>
      <c r="G128" t="s">
        <v>4</v>
      </c>
      <c r="H128" t="s">
        <v>10</v>
      </c>
      <c r="I128" t="s">
        <v>11</v>
      </c>
      <c r="J128">
        <v>6</v>
      </c>
      <c r="K128" s="3">
        <v>1681.9</v>
      </c>
      <c r="L128" s="3">
        <f>tblBelgaumOrders[[#This Row],[Quantity]]*tblBelgaumOrders[[#This Row],[Order_Amount]]</f>
        <v>10091.400000000001</v>
      </c>
    </row>
    <row r="129" spans="1:12" x14ac:dyDescent="0.3">
      <c r="A129" t="s">
        <v>170</v>
      </c>
      <c r="B129" s="2">
        <v>45874</v>
      </c>
      <c r="C129" s="2" t="str">
        <f>TEXT(tblBelgaumOrders[[#This Row],[Order_Date]],"mmm")</f>
        <v>Aug</v>
      </c>
      <c r="D129" t="s">
        <v>8</v>
      </c>
      <c r="E129" t="s">
        <v>24</v>
      </c>
      <c r="F129" t="s">
        <v>37</v>
      </c>
      <c r="G129" t="s">
        <v>4</v>
      </c>
      <c r="H129" t="s">
        <v>10</v>
      </c>
      <c r="I129" t="s">
        <v>11</v>
      </c>
      <c r="J129">
        <v>18</v>
      </c>
      <c r="K129" s="3">
        <v>3734.81</v>
      </c>
      <c r="L129" s="3">
        <f>tblBelgaumOrders[[#This Row],[Quantity]]*tblBelgaumOrders[[#This Row],[Order_Amount]]</f>
        <v>67226.58</v>
      </c>
    </row>
    <row r="130" spans="1:12" x14ac:dyDescent="0.3">
      <c r="A130" t="s">
        <v>171</v>
      </c>
      <c r="B130" s="2">
        <v>45942</v>
      </c>
      <c r="C130" s="2" t="str">
        <f>TEXT(tblBelgaumOrders[[#This Row],[Order_Date]],"mmm")</f>
        <v>Oct</v>
      </c>
      <c r="D130" t="s">
        <v>34</v>
      </c>
      <c r="E130" t="s">
        <v>2</v>
      </c>
      <c r="F130" t="s">
        <v>3</v>
      </c>
      <c r="G130" t="s">
        <v>4</v>
      </c>
      <c r="H130" t="s">
        <v>10</v>
      </c>
      <c r="I130" t="s">
        <v>6</v>
      </c>
      <c r="J130">
        <v>10</v>
      </c>
      <c r="K130" s="3">
        <v>2907.17</v>
      </c>
      <c r="L130" s="3">
        <f>tblBelgaumOrders[[#This Row],[Quantity]]*tblBelgaumOrders[[#This Row],[Order_Amount]]</f>
        <v>29071.7</v>
      </c>
    </row>
    <row r="131" spans="1:12" x14ac:dyDescent="0.3">
      <c r="A131" t="s">
        <v>172</v>
      </c>
      <c r="B131" s="2">
        <v>45987</v>
      </c>
      <c r="C131" s="2" t="str">
        <f>TEXT(tblBelgaumOrders[[#This Row],[Order_Date]],"mmm")</f>
        <v>Nov</v>
      </c>
      <c r="D131" t="s">
        <v>39</v>
      </c>
      <c r="E131" t="s">
        <v>2</v>
      </c>
      <c r="F131" t="s">
        <v>73</v>
      </c>
      <c r="G131" t="s">
        <v>17</v>
      </c>
      <c r="H131" t="s">
        <v>10</v>
      </c>
      <c r="I131" t="s">
        <v>11</v>
      </c>
      <c r="J131">
        <v>5</v>
      </c>
      <c r="K131" s="3">
        <v>0</v>
      </c>
      <c r="L131" s="3">
        <f>tblBelgaumOrders[[#This Row],[Quantity]]*tblBelgaumOrders[[#This Row],[Order_Amount]]</f>
        <v>0</v>
      </c>
    </row>
    <row r="132" spans="1:12" x14ac:dyDescent="0.3">
      <c r="A132" t="s">
        <v>173</v>
      </c>
      <c r="B132" s="2">
        <v>45837</v>
      </c>
      <c r="C132" s="2" t="str">
        <f>TEXT(tblBelgaumOrders[[#This Row],[Order_Date]],"mmm")</f>
        <v>Jun</v>
      </c>
      <c r="D132" t="s">
        <v>67</v>
      </c>
      <c r="E132" t="s">
        <v>2</v>
      </c>
      <c r="F132" t="s">
        <v>9</v>
      </c>
      <c r="G132" t="s">
        <v>4</v>
      </c>
      <c r="H132" t="s">
        <v>10</v>
      </c>
      <c r="I132" t="s">
        <v>18</v>
      </c>
      <c r="J132">
        <v>1</v>
      </c>
      <c r="K132" s="3">
        <v>144.91</v>
      </c>
      <c r="L132" s="3">
        <f>tblBelgaumOrders[[#This Row],[Quantity]]*tblBelgaumOrders[[#This Row],[Order_Amount]]</f>
        <v>144.91</v>
      </c>
    </row>
    <row r="133" spans="1:12" x14ac:dyDescent="0.3">
      <c r="A133" t="s">
        <v>174</v>
      </c>
      <c r="B133" s="2">
        <v>45929</v>
      </c>
      <c r="C133" s="2" t="str">
        <f>TEXT(tblBelgaumOrders[[#This Row],[Order_Date]],"mmm")</f>
        <v>Sep</v>
      </c>
      <c r="D133" t="s">
        <v>48</v>
      </c>
      <c r="E133" t="s">
        <v>2</v>
      </c>
      <c r="F133" t="s">
        <v>77</v>
      </c>
      <c r="G133" t="s">
        <v>4</v>
      </c>
      <c r="H133" t="s">
        <v>10</v>
      </c>
      <c r="I133" t="s">
        <v>11</v>
      </c>
      <c r="J133">
        <v>10</v>
      </c>
      <c r="K133" s="3">
        <v>10523.48</v>
      </c>
      <c r="L133" s="3">
        <f>tblBelgaumOrders[[#This Row],[Quantity]]*tblBelgaumOrders[[#This Row],[Order_Amount]]</f>
        <v>105234.79999999999</v>
      </c>
    </row>
    <row r="134" spans="1:12" x14ac:dyDescent="0.3">
      <c r="A134" t="s">
        <v>175</v>
      </c>
      <c r="B134" s="2">
        <v>45684</v>
      </c>
      <c r="C134" s="2" t="str">
        <f>TEXT(tblBelgaumOrders[[#This Row],[Order_Date]],"mmm")</f>
        <v>Jan</v>
      </c>
      <c r="D134" t="s">
        <v>75</v>
      </c>
      <c r="E134" t="s">
        <v>2</v>
      </c>
      <c r="F134" t="s">
        <v>37</v>
      </c>
      <c r="G134" t="s">
        <v>4</v>
      </c>
      <c r="H134" t="s">
        <v>10</v>
      </c>
      <c r="I134" t="s">
        <v>6</v>
      </c>
      <c r="J134">
        <v>8</v>
      </c>
      <c r="K134" s="3">
        <v>1961.07</v>
      </c>
      <c r="L134" s="3">
        <f>tblBelgaumOrders[[#This Row],[Quantity]]*tblBelgaumOrders[[#This Row],[Order_Amount]]</f>
        <v>15688.56</v>
      </c>
    </row>
    <row r="135" spans="1:12" x14ac:dyDescent="0.3">
      <c r="A135" t="s">
        <v>176</v>
      </c>
      <c r="B135" s="2">
        <v>45870</v>
      </c>
      <c r="C135" s="2" t="str">
        <f>TEXT(tblBelgaumOrders[[#This Row],[Order_Date]],"mmm")</f>
        <v>Aug</v>
      </c>
      <c r="D135" t="s">
        <v>13</v>
      </c>
      <c r="E135" t="s">
        <v>2</v>
      </c>
      <c r="F135" t="s">
        <v>37</v>
      </c>
      <c r="G135" t="s">
        <v>4</v>
      </c>
      <c r="H135" t="s">
        <v>10</v>
      </c>
      <c r="I135" t="s">
        <v>6</v>
      </c>
      <c r="J135">
        <v>10</v>
      </c>
      <c r="K135" s="3">
        <v>2292.36</v>
      </c>
      <c r="L135" s="3">
        <f>tblBelgaumOrders[[#This Row],[Quantity]]*tblBelgaumOrders[[#This Row],[Order_Amount]]</f>
        <v>22923.600000000002</v>
      </c>
    </row>
    <row r="136" spans="1:12" x14ac:dyDescent="0.3">
      <c r="A136" t="s">
        <v>177</v>
      </c>
      <c r="B136" s="2">
        <v>45999</v>
      </c>
      <c r="C136" s="2" t="str">
        <f>TEXT(tblBelgaumOrders[[#This Row],[Order_Date]],"mmm")</f>
        <v>Dec</v>
      </c>
      <c r="D136" t="s">
        <v>23</v>
      </c>
      <c r="E136" t="s">
        <v>2</v>
      </c>
      <c r="F136" t="s">
        <v>51</v>
      </c>
      <c r="G136" t="s">
        <v>4</v>
      </c>
      <c r="H136" t="s">
        <v>10</v>
      </c>
      <c r="I136" t="s">
        <v>11</v>
      </c>
      <c r="J136">
        <v>4</v>
      </c>
      <c r="K136" s="3">
        <v>8714.9500000000007</v>
      </c>
      <c r="L136" s="3">
        <f>tblBelgaumOrders[[#This Row],[Quantity]]*tblBelgaumOrders[[#This Row],[Order_Amount]]</f>
        <v>34859.800000000003</v>
      </c>
    </row>
    <row r="137" spans="1:12" x14ac:dyDescent="0.3">
      <c r="A137" t="s">
        <v>178</v>
      </c>
      <c r="B137" s="2">
        <v>45806</v>
      </c>
      <c r="C137" s="2" t="str">
        <f>TEXT(tblBelgaumOrders[[#This Row],[Order_Date]],"mmm")</f>
        <v>May</v>
      </c>
      <c r="D137" t="s">
        <v>53</v>
      </c>
      <c r="E137" t="s">
        <v>2</v>
      </c>
      <c r="F137" t="s">
        <v>37</v>
      </c>
      <c r="G137" t="s">
        <v>4</v>
      </c>
      <c r="H137" t="s">
        <v>10</v>
      </c>
      <c r="I137" t="s">
        <v>6</v>
      </c>
      <c r="J137">
        <v>4</v>
      </c>
      <c r="K137" s="3">
        <v>924.14</v>
      </c>
      <c r="L137" s="3">
        <f>tblBelgaumOrders[[#This Row],[Quantity]]*tblBelgaumOrders[[#This Row],[Order_Amount]]</f>
        <v>3696.56</v>
      </c>
    </row>
    <row r="138" spans="1:12" x14ac:dyDescent="0.3">
      <c r="A138" t="s">
        <v>179</v>
      </c>
      <c r="B138" s="2">
        <v>46000</v>
      </c>
      <c r="C138" s="2" t="str">
        <f>TEXT(tblBelgaumOrders[[#This Row],[Order_Date]],"mmm")</f>
        <v>Dec</v>
      </c>
      <c r="D138" t="s">
        <v>34</v>
      </c>
      <c r="E138" t="s">
        <v>2</v>
      </c>
      <c r="F138" t="s">
        <v>21</v>
      </c>
      <c r="G138" t="s">
        <v>4</v>
      </c>
      <c r="H138" t="s">
        <v>10</v>
      </c>
      <c r="I138" t="s">
        <v>46</v>
      </c>
      <c r="J138">
        <v>6</v>
      </c>
      <c r="K138" s="3">
        <v>788.73</v>
      </c>
      <c r="L138" s="3">
        <f>tblBelgaumOrders[[#This Row],[Quantity]]*tblBelgaumOrders[[#This Row],[Order_Amount]]</f>
        <v>4732.38</v>
      </c>
    </row>
    <row r="139" spans="1:12" x14ac:dyDescent="0.3">
      <c r="A139" t="s">
        <v>180</v>
      </c>
      <c r="B139" s="2">
        <v>45951</v>
      </c>
      <c r="C139" s="2" t="str">
        <f>TEXT(tblBelgaumOrders[[#This Row],[Order_Date]],"mmm")</f>
        <v>Oct</v>
      </c>
      <c r="D139" t="s">
        <v>29</v>
      </c>
      <c r="E139" t="s">
        <v>14</v>
      </c>
      <c r="F139" t="s">
        <v>77</v>
      </c>
      <c r="G139" t="s">
        <v>4</v>
      </c>
      <c r="H139" t="s">
        <v>10</v>
      </c>
      <c r="I139" t="s">
        <v>11</v>
      </c>
      <c r="J139">
        <v>25</v>
      </c>
      <c r="K139" s="3">
        <v>24368.880000000001</v>
      </c>
      <c r="L139" s="3">
        <f>tblBelgaumOrders[[#This Row],[Quantity]]*tblBelgaumOrders[[#This Row],[Order_Amount]]</f>
        <v>609222</v>
      </c>
    </row>
    <row r="140" spans="1:12" x14ac:dyDescent="0.3">
      <c r="A140" t="s">
        <v>181</v>
      </c>
      <c r="B140" s="2">
        <v>45843</v>
      </c>
      <c r="C140" s="2" t="str">
        <f>TEXT(tblBelgaumOrders[[#This Row],[Order_Date]],"mmm")</f>
        <v>Jul</v>
      </c>
      <c r="D140" t="s">
        <v>20</v>
      </c>
      <c r="E140" t="s">
        <v>2</v>
      </c>
      <c r="F140" t="s">
        <v>9</v>
      </c>
      <c r="G140" t="s">
        <v>4</v>
      </c>
      <c r="H140" t="s">
        <v>10</v>
      </c>
      <c r="I140" t="s">
        <v>11</v>
      </c>
      <c r="J140">
        <v>5</v>
      </c>
      <c r="K140" s="3">
        <v>1077.73</v>
      </c>
      <c r="L140" s="3">
        <f>tblBelgaumOrders[[#This Row],[Quantity]]*tblBelgaumOrders[[#This Row],[Order_Amount]]</f>
        <v>5388.65</v>
      </c>
    </row>
    <row r="141" spans="1:12" x14ac:dyDescent="0.3">
      <c r="A141" t="s">
        <v>182</v>
      </c>
      <c r="B141" s="2">
        <v>45771</v>
      </c>
      <c r="C141" s="2" t="str">
        <f>TEXT(tblBelgaumOrders[[#This Row],[Order_Date]],"mmm")</f>
        <v>Apr</v>
      </c>
      <c r="D141" t="s">
        <v>53</v>
      </c>
      <c r="E141" t="s">
        <v>14</v>
      </c>
      <c r="F141" t="s">
        <v>9</v>
      </c>
      <c r="G141" t="s">
        <v>4</v>
      </c>
      <c r="H141" t="s">
        <v>10</v>
      </c>
      <c r="I141" t="s">
        <v>11</v>
      </c>
      <c r="J141">
        <v>17</v>
      </c>
      <c r="K141" s="3">
        <v>2939.62</v>
      </c>
      <c r="L141" s="3">
        <f>tblBelgaumOrders[[#This Row],[Quantity]]*tblBelgaumOrders[[#This Row],[Order_Amount]]</f>
        <v>49973.54</v>
      </c>
    </row>
    <row r="142" spans="1:12" x14ac:dyDescent="0.3">
      <c r="A142" t="s">
        <v>183</v>
      </c>
      <c r="B142" s="2">
        <v>45988</v>
      </c>
      <c r="C142" s="2" t="str">
        <f>TEXT(tblBelgaumOrders[[#This Row],[Order_Date]],"mmm")</f>
        <v>Nov</v>
      </c>
      <c r="D142" t="s">
        <v>75</v>
      </c>
      <c r="E142" t="s">
        <v>2</v>
      </c>
      <c r="F142" t="s">
        <v>9</v>
      </c>
      <c r="G142" t="s">
        <v>4</v>
      </c>
      <c r="H142" t="s">
        <v>5</v>
      </c>
      <c r="I142" t="s">
        <v>18</v>
      </c>
      <c r="J142">
        <v>2</v>
      </c>
      <c r="K142" s="3">
        <v>308.26</v>
      </c>
      <c r="L142" s="3">
        <f>tblBelgaumOrders[[#This Row],[Quantity]]*tblBelgaumOrders[[#This Row],[Order_Amount]]</f>
        <v>616.52</v>
      </c>
    </row>
    <row r="143" spans="1:12" x14ac:dyDescent="0.3">
      <c r="A143" t="s">
        <v>184</v>
      </c>
      <c r="B143" s="2">
        <v>45979</v>
      </c>
      <c r="C143" s="2" t="str">
        <f>TEXT(tblBelgaumOrders[[#This Row],[Order_Date]],"mmm")</f>
        <v>Nov</v>
      </c>
      <c r="D143" t="s">
        <v>55</v>
      </c>
      <c r="E143" t="s">
        <v>2</v>
      </c>
      <c r="F143" t="s">
        <v>37</v>
      </c>
      <c r="G143" t="s">
        <v>4</v>
      </c>
      <c r="H143" t="s">
        <v>5</v>
      </c>
      <c r="I143" t="s">
        <v>18</v>
      </c>
      <c r="J143">
        <v>10</v>
      </c>
      <c r="K143" s="3">
        <v>2076.63</v>
      </c>
      <c r="L143" s="3">
        <f>tblBelgaumOrders[[#This Row],[Quantity]]*tblBelgaumOrders[[#This Row],[Order_Amount]]</f>
        <v>20766.300000000003</v>
      </c>
    </row>
    <row r="144" spans="1:12" x14ac:dyDescent="0.3">
      <c r="A144" t="s">
        <v>185</v>
      </c>
      <c r="B144" s="2">
        <v>45979</v>
      </c>
      <c r="C144" s="2" t="str">
        <f>TEXT(tblBelgaumOrders[[#This Row],[Order_Date]],"mmm")</f>
        <v>Nov</v>
      </c>
      <c r="D144" t="s">
        <v>53</v>
      </c>
      <c r="E144" t="s">
        <v>2</v>
      </c>
      <c r="F144" t="s">
        <v>9</v>
      </c>
      <c r="G144" t="s">
        <v>4</v>
      </c>
      <c r="H144" t="s">
        <v>10</v>
      </c>
      <c r="I144" t="s">
        <v>11</v>
      </c>
      <c r="J144">
        <v>1</v>
      </c>
      <c r="K144" s="3">
        <v>173.01</v>
      </c>
      <c r="L144" s="3">
        <f>tblBelgaumOrders[[#This Row],[Quantity]]*tblBelgaumOrders[[#This Row],[Order_Amount]]</f>
        <v>173.01</v>
      </c>
    </row>
    <row r="145" spans="1:12" x14ac:dyDescent="0.3">
      <c r="A145" t="s">
        <v>186</v>
      </c>
      <c r="B145" s="2">
        <v>45695</v>
      </c>
      <c r="C145" s="2" t="str">
        <f>TEXT(tblBelgaumOrders[[#This Row],[Order_Date]],"mmm")</f>
        <v>Feb</v>
      </c>
      <c r="D145" t="s">
        <v>23</v>
      </c>
      <c r="E145" t="s">
        <v>2</v>
      </c>
      <c r="F145" t="s">
        <v>9</v>
      </c>
      <c r="G145" t="s">
        <v>4</v>
      </c>
      <c r="H145" t="s">
        <v>10</v>
      </c>
      <c r="I145" t="s">
        <v>6</v>
      </c>
      <c r="J145">
        <v>2</v>
      </c>
      <c r="K145" s="3">
        <v>402.84</v>
      </c>
      <c r="L145" s="3">
        <f>tblBelgaumOrders[[#This Row],[Quantity]]*tblBelgaumOrders[[#This Row],[Order_Amount]]</f>
        <v>805.68</v>
      </c>
    </row>
    <row r="146" spans="1:12" x14ac:dyDescent="0.3">
      <c r="A146" t="s">
        <v>187</v>
      </c>
      <c r="B146" s="2">
        <v>45917</v>
      </c>
      <c r="C146" s="2" t="str">
        <f>TEXT(tblBelgaumOrders[[#This Row],[Order_Date]],"mmm")</f>
        <v>Sep</v>
      </c>
      <c r="D146" t="s">
        <v>29</v>
      </c>
      <c r="E146" t="s">
        <v>2</v>
      </c>
      <c r="F146" t="s">
        <v>37</v>
      </c>
      <c r="G146" t="s">
        <v>15</v>
      </c>
      <c r="H146" t="s">
        <v>5</v>
      </c>
      <c r="I146" t="s">
        <v>11</v>
      </c>
      <c r="J146">
        <v>10</v>
      </c>
      <c r="K146" s="3">
        <v>2510.4299999999998</v>
      </c>
      <c r="L146" s="3">
        <f>tblBelgaumOrders[[#This Row],[Quantity]]*tblBelgaumOrders[[#This Row],[Order_Amount]]</f>
        <v>25104.3</v>
      </c>
    </row>
    <row r="147" spans="1:12" x14ac:dyDescent="0.3">
      <c r="A147" t="s">
        <v>188</v>
      </c>
      <c r="B147" s="2">
        <v>45822</v>
      </c>
      <c r="C147" s="2" t="str">
        <f>TEXT(tblBelgaumOrders[[#This Row],[Order_Date]],"mmm")</f>
        <v>Jun</v>
      </c>
      <c r="D147" t="s">
        <v>55</v>
      </c>
      <c r="E147" t="s">
        <v>2</v>
      </c>
      <c r="F147" t="s">
        <v>35</v>
      </c>
      <c r="G147" t="s">
        <v>4</v>
      </c>
      <c r="H147" t="s">
        <v>5</v>
      </c>
      <c r="I147" t="s">
        <v>18</v>
      </c>
      <c r="J147">
        <v>2</v>
      </c>
      <c r="K147" s="3">
        <v>6737.47</v>
      </c>
      <c r="L147" s="3">
        <f>tblBelgaumOrders[[#This Row],[Quantity]]*tblBelgaumOrders[[#This Row],[Order_Amount]]</f>
        <v>13474.94</v>
      </c>
    </row>
    <row r="148" spans="1:12" x14ac:dyDescent="0.3">
      <c r="A148" t="s">
        <v>189</v>
      </c>
      <c r="B148" s="2">
        <v>45882</v>
      </c>
      <c r="C148" s="2" t="str">
        <f>TEXT(tblBelgaumOrders[[#This Row],[Order_Date]],"mmm")</f>
        <v>Aug</v>
      </c>
      <c r="D148" t="s">
        <v>32</v>
      </c>
      <c r="E148" t="s">
        <v>2</v>
      </c>
      <c r="F148" t="s">
        <v>37</v>
      </c>
      <c r="G148" t="s">
        <v>4</v>
      </c>
      <c r="H148" t="s">
        <v>63</v>
      </c>
      <c r="I148" t="s">
        <v>11</v>
      </c>
      <c r="J148">
        <v>6</v>
      </c>
      <c r="K148" s="3">
        <v>1527.69</v>
      </c>
      <c r="L148" s="3">
        <f>tblBelgaumOrders[[#This Row],[Quantity]]*tblBelgaumOrders[[#This Row],[Order_Amount]]</f>
        <v>9166.14</v>
      </c>
    </row>
    <row r="149" spans="1:12" x14ac:dyDescent="0.3">
      <c r="A149" t="s">
        <v>190</v>
      </c>
      <c r="B149" s="2">
        <v>45684</v>
      </c>
      <c r="C149" s="2" t="str">
        <f>TEXT(tblBelgaumOrders[[#This Row],[Order_Date]],"mmm")</f>
        <v>Jan</v>
      </c>
      <c r="D149" t="s">
        <v>53</v>
      </c>
      <c r="E149" t="s">
        <v>2</v>
      </c>
      <c r="F149" t="s">
        <v>9</v>
      </c>
      <c r="G149" t="s">
        <v>4</v>
      </c>
      <c r="H149" t="s">
        <v>10</v>
      </c>
      <c r="I149" t="s">
        <v>18</v>
      </c>
      <c r="J149">
        <v>10</v>
      </c>
      <c r="K149" s="3">
        <v>2293.14</v>
      </c>
      <c r="L149" s="3">
        <f>tblBelgaumOrders[[#This Row],[Quantity]]*tblBelgaumOrders[[#This Row],[Order_Amount]]</f>
        <v>22931.399999999998</v>
      </c>
    </row>
    <row r="150" spans="1:12" x14ac:dyDescent="0.3">
      <c r="A150" t="s">
        <v>191</v>
      </c>
      <c r="B150" s="2">
        <v>45828</v>
      </c>
      <c r="C150" s="2" t="str">
        <f>TEXT(tblBelgaumOrders[[#This Row],[Order_Date]],"mmm")</f>
        <v>Jun</v>
      </c>
      <c r="D150" t="s">
        <v>20</v>
      </c>
      <c r="E150" t="s">
        <v>2</v>
      </c>
      <c r="F150" t="s">
        <v>9</v>
      </c>
      <c r="G150" t="s">
        <v>4</v>
      </c>
      <c r="H150" t="s">
        <v>63</v>
      </c>
      <c r="I150" t="s">
        <v>6</v>
      </c>
      <c r="J150">
        <v>7</v>
      </c>
      <c r="K150" s="3">
        <v>1042.49</v>
      </c>
      <c r="L150" s="3">
        <f>tblBelgaumOrders[[#This Row],[Quantity]]*tblBelgaumOrders[[#This Row],[Order_Amount]]</f>
        <v>7297.43</v>
      </c>
    </row>
    <row r="151" spans="1:12" x14ac:dyDescent="0.3">
      <c r="A151" t="s">
        <v>192</v>
      </c>
      <c r="B151" s="2">
        <v>45701</v>
      </c>
      <c r="C151" s="2" t="str">
        <f>TEXT(tblBelgaumOrders[[#This Row],[Order_Date]],"mmm")</f>
        <v>Feb</v>
      </c>
      <c r="D151" t="s">
        <v>23</v>
      </c>
      <c r="E151" t="s">
        <v>2</v>
      </c>
      <c r="F151" t="s">
        <v>26</v>
      </c>
      <c r="G151" t="s">
        <v>4</v>
      </c>
      <c r="H151" t="s">
        <v>10</v>
      </c>
      <c r="I151" t="s">
        <v>6</v>
      </c>
      <c r="J151">
        <v>9</v>
      </c>
      <c r="K151" s="3">
        <v>3917.51</v>
      </c>
      <c r="L151" s="3">
        <f>tblBelgaumOrders[[#This Row],[Quantity]]*tblBelgaumOrders[[#This Row],[Order_Amount]]</f>
        <v>35257.590000000004</v>
      </c>
    </row>
    <row r="152" spans="1:12" x14ac:dyDescent="0.3">
      <c r="A152" t="s">
        <v>193</v>
      </c>
      <c r="B152" s="2">
        <v>46001</v>
      </c>
      <c r="C152" s="2" t="str">
        <f>TEXT(tblBelgaumOrders[[#This Row],[Order_Date]],"mmm")</f>
        <v>Dec</v>
      </c>
      <c r="D152" t="s">
        <v>79</v>
      </c>
      <c r="E152" t="s">
        <v>2</v>
      </c>
      <c r="F152" t="s">
        <v>9</v>
      </c>
      <c r="G152" t="s">
        <v>4</v>
      </c>
      <c r="H152" t="s">
        <v>63</v>
      </c>
      <c r="I152" t="s">
        <v>11</v>
      </c>
      <c r="J152">
        <v>8</v>
      </c>
      <c r="K152" s="3">
        <v>1245.8900000000001</v>
      </c>
      <c r="L152" s="3">
        <f>tblBelgaumOrders[[#This Row],[Quantity]]*tblBelgaumOrders[[#This Row],[Order_Amount]]</f>
        <v>9967.1200000000008</v>
      </c>
    </row>
    <row r="153" spans="1:12" x14ac:dyDescent="0.3">
      <c r="A153" t="s">
        <v>194</v>
      </c>
      <c r="B153" s="2">
        <v>45728</v>
      </c>
      <c r="C153" s="2" t="str">
        <f>TEXT(tblBelgaumOrders[[#This Row],[Order_Date]],"mmm")</f>
        <v>Mar</v>
      </c>
      <c r="D153" t="s">
        <v>75</v>
      </c>
      <c r="E153" t="s">
        <v>2</v>
      </c>
      <c r="F153" t="s">
        <v>21</v>
      </c>
      <c r="G153" t="s">
        <v>4</v>
      </c>
      <c r="H153" t="s">
        <v>5</v>
      </c>
      <c r="I153" t="s">
        <v>18</v>
      </c>
      <c r="J153">
        <v>9</v>
      </c>
      <c r="K153" s="3">
        <v>834.46</v>
      </c>
      <c r="L153" s="3">
        <f>tblBelgaumOrders[[#This Row],[Quantity]]*tblBelgaumOrders[[#This Row],[Order_Amount]]</f>
        <v>7510.14</v>
      </c>
    </row>
    <row r="154" spans="1:12" x14ac:dyDescent="0.3">
      <c r="A154" t="s">
        <v>195</v>
      </c>
      <c r="B154" s="2">
        <v>45830</v>
      </c>
      <c r="C154" s="2" t="str">
        <f>TEXT(tblBelgaumOrders[[#This Row],[Order_Date]],"mmm")</f>
        <v>Jun</v>
      </c>
      <c r="D154" t="s">
        <v>75</v>
      </c>
      <c r="E154" t="s">
        <v>2</v>
      </c>
      <c r="F154" t="s">
        <v>9</v>
      </c>
      <c r="G154" t="s">
        <v>4</v>
      </c>
      <c r="H154" t="s">
        <v>5</v>
      </c>
      <c r="I154" t="s">
        <v>6</v>
      </c>
      <c r="J154">
        <v>3</v>
      </c>
      <c r="K154" s="3">
        <v>638.66</v>
      </c>
      <c r="L154" s="3">
        <f>tblBelgaumOrders[[#This Row],[Quantity]]*tblBelgaumOrders[[#This Row],[Order_Amount]]</f>
        <v>1915.98</v>
      </c>
    </row>
    <row r="155" spans="1:12" x14ac:dyDescent="0.3">
      <c r="A155" t="s">
        <v>196</v>
      </c>
      <c r="B155" s="2">
        <v>45680</v>
      </c>
      <c r="C155" s="2" t="str">
        <f>TEXT(tblBelgaumOrders[[#This Row],[Order_Date]],"mmm")</f>
        <v>Jan</v>
      </c>
      <c r="D155" t="s">
        <v>79</v>
      </c>
      <c r="E155" t="s">
        <v>2</v>
      </c>
      <c r="F155" t="s">
        <v>40</v>
      </c>
      <c r="G155" t="s">
        <v>30</v>
      </c>
      <c r="H155" t="s">
        <v>5</v>
      </c>
      <c r="I155" t="s">
        <v>18</v>
      </c>
      <c r="J155">
        <v>8</v>
      </c>
      <c r="K155" s="3">
        <v>1139.71</v>
      </c>
      <c r="L155" s="3">
        <f>tblBelgaumOrders[[#This Row],[Quantity]]*tblBelgaumOrders[[#This Row],[Order_Amount]]</f>
        <v>9117.68</v>
      </c>
    </row>
    <row r="156" spans="1:12" x14ac:dyDescent="0.3">
      <c r="A156" t="s">
        <v>197</v>
      </c>
      <c r="B156" s="2">
        <v>45780</v>
      </c>
      <c r="C156" s="2" t="str">
        <f>TEXT(tblBelgaumOrders[[#This Row],[Order_Date]],"mmm")</f>
        <v>May</v>
      </c>
      <c r="D156" t="s">
        <v>23</v>
      </c>
      <c r="E156" t="s">
        <v>24</v>
      </c>
      <c r="F156" t="s">
        <v>40</v>
      </c>
      <c r="G156" t="s">
        <v>17</v>
      </c>
      <c r="H156" t="s">
        <v>10</v>
      </c>
      <c r="I156" t="s">
        <v>6</v>
      </c>
      <c r="J156">
        <v>17</v>
      </c>
      <c r="K156" s="3">
        <v>0</v>
      </c>
      <c r="L156" s="3">
        <f>tblBelgaumOrders[[#This Row],[Quantity]]*tblBelgaumOrders[[#This Row],[Order_Amount]]</f>
        <v>0</v>
      </c>
    </row>
    <row r="157" spans="1:12" x14ac:dyDescent="0.3">
      <c r="A157" t="s">
        <v>198</v>
      </c>
      <c r="B157" s="2">
        <v>45853</v>
      </c>
      <c r="C157" s="2" t="str">
        <f>TEXT(tblBelgaumOrders[[#This Row],[Order_Date]],"mmm")</f>
        <v>Jul</v>
      </c>
      <c r="D157" t="s">
        <v>42</v>
      </c>
      <c r="E157" t="s">
        <v>2</v>
      </c>
      <c r="F157" t="s">
        <v>35</v>
      </c>
      <c r="G157" t="s">
        <v>15</v>
      </c>
      <c r="H157" t="s">
        <v>5</v>
      </c>
      <c r="I157" t="s">
        <v>11</v>
      </c>
      <c r="J157">
        <v>5</v>
      </c>
      <c r="K157" s="3">
        <v>12500.93</v>
      </c>
      <c r="L157" s="3">
        <f>tblBelgaumOrders[[#This Row],[Quantity]]*tblBelgaumOrders[[#This Row],[Order_Amount]]</f>
        <v>62504.65</v>
      </c>
    </row>
    <row r="158" spans="1:12" x14ac:dyDescent="0.3">
      <c r="A158" t="s">
        <v>199</v>
      </c>
      <c r="B158" s="2">
        <v>45848</v>
      </c>
      <c r="C158" s="2" t="str">
        <f>TEXT(tblBelgaumOrders[[#This Row],[Order_Date]],"mmm")</f>
        <v>Jul</v>
      </c>
      <c r="D158" t="s">
        <v>39</v>
      </c>
      <c r="E158" t="s">
        <v>24</v>
      </c>
      <c r="F158" t="s">
        <v>40</v>
      </c>
      <c r="G158" t="s">
        <v>4</v>
      </c>
      <c r="H158" t="s">
        <v>10</v>
      </c>
      <c r="I158" t="s">
        <v>11</v>
      </c>
      <c r="J158">
        <v>8</v>
      </c>
      <c r="K158" s="3">
        <v>1386.79</v>
      </c>
      <c r="L158" s="3">
        <f>tblBelgaumOrders[[#This Row],[Quantity]]*tblBelgaumOrders[[#This Row],[Order_Amount]]</f>
        <v>11094.32</v>
      </c>
    </row>
    <row r="159" spans="1:12" x14ac:dyDescent="0.3">
      <c r="A159" t="s">
        <v>200</v>
      </c>
      <c r="B159" s="2">
        <v>45733</v>
      </c>
      <c r="C159" s="2" t="str">
        <f>TEXT(tblBelgaumOrders[[#This Row],[Order_Date]],"mmm")</f>
        <v>Mar</v>
      </c>
      <c r="D159" t="s">
        <v>79</v>
      </c>
      <c r="E159" t="s">
        <v>2</v>
      </c>
      <c r="F159" t="s">
        <v>73</v>
      </c>
      <c r="G159" t="s">
        <v>15</v>
      </c>
      <c r="H159" t="s">
        <v>5</v>
      </c>
      <c r="I159" t="s">
        <v>46</v>
      </c>
      <c r="J159">
        <v>7</v>
      </c>
      <c r="K159" s="3">
        <v>2298.9499999999998</v>
      </c>
      <c r="L159" s="3">
        <f>tblBelgaumOrders[[#This Row],[Quantity]]*tblBelgaumOrders[[#This Row],[Order_Amount]]</f>
        <v>16092.649999999998</v>
      </c>
    </row>
    <row r="160" spans="1:12" x14ac:dyDescent="0.3">
      <c r="A160" t="s">
        <v>201</v>
      </c>
      <c r="B160" s="2">
        <v>45915</v>
      </c>
      <c r="C160" s="2" t="str">
        <f>TEXT(tblBelgaumOrders[[#This Row],[Order_Date]],"mmm")</f>
        <v>Sep</v>
      </c>
      <c r="D160" t="s">
        <v>34</v>
      </c>
      <c r="E160" t="s">
        <v>2</v>
      </c>
      <c r="F160" t="s">
        <v>35</v>
      </c>
      <c r="G160" t="s">
        <v>4</v>
      </c>
      <c r="H160" t="s">
        <v>10</v>
      </c>
      <c r="I160" t="s">
        <v>46</v>
      </c>
      <c r="J160">
        <v>3</v>
      </c>
      <c r="K160" s="3">
        <v>11758.35</v>
      </c>
      <c r="L160" s="3">
        <f>tblBelgaumOrders[[#This Row],[Quantity]]*tblBelgaumOrders[[#This Row],[Order_Amount]]</f>
        <v>35275.050000000003</v>
      </c>
    </row>
    <row r="161" spans="1:12" x14ac:dyDescent="0.3">
      <c r="A161" t="s">
        <v>202</v>
      </c>
      <c r="B161" s="2">
        <v>45899</v>
      </c>
      <c r="C161" s="2" t="str">
        <f>TEXT(tblBelgaumOrders[[#This Row],[Order_Date]],"mmm")</f>
        <v>Aug</v>
      </c>
      <c r="D161" t="s">
        <v>75</v>
      </c>
      <c r="E161" t="s">
        <v>14</v>
      </c>
      <c r="F161" t="s">
        <v>77</v>
      </c>
      <c r="G161" t="s">
        <v>4</v>
      </c>
      <c r="H161" t="s">
        <v>63</v>
      </c>
      <c r="I161" t="s">
        <v>11</v>
      </c>
      <c r="J161">
        <v>12</v>
      </c>
      <c r="K161" s="3">
        <v>14261.15</v>
      </c>
      <c r="L161" s="3">
        <f>tblBelgaumOrders[[#This Row],[Quantity]]*tblBelgaumOrders[[#This Row],[Order_Amount]]</f>
        <v>171133.8</v>
      </c>
    </row>
    <row r="162" spans="1:12" x14ac:dyDescent="0.3">
      <c r="A162" t="s">
        <v>203</v>
      </c>
      <c r="B162" s="2">
        <v>45938</v>
      </c>
      <c r="C162" s="2" t="str">
        <f>TEXT(tblBelgaumOrders[[#This Row],[Order_Date]],"mmm")</f>
        <v>Oct</v>
      </c>
      <c r="D162" t="s">
        <v>42</v>
      </c>
      <c r="E162" t="s">
        <v>2</v>
      </c>
      <c r="F162" t="s">
        <v>40</v>
      </c>
      <c r="G162" t="s">
        <v>4</v>
      </c>
      <c r="H162" t="s">
        <v>10</v>
      </c>
      <c r="I162" t="s">
        <v>11</v>
      </c>
      <c r="J162">
        <v>10</v>
      </c>
      <c r="K162" s="3">
        <v>1638.83</v>
      </c>
      <c r="L162" s="3">
        <f>tblBelgaumOrders[[#This Row],[Quantity]]*tblBelgaumOrders[[#This Row],[Order_Amount]]</f>
        <v>16388.3</v>
      </c>
    </row>
    <row r="163" spans="1:12" x14ac:dyDescent="0.3">
      <c r="A163" t="s">
        <v>204</v>
      </c>
      <c r="B163" s="2">
        <v>45714</v>
      </c>
      <c r="C163" s="2" t="str">
        <f>TEXT(tblBelgaumOrders[[#This Row],[Order_Date]],"mmm")</f>
        <v>Feb</v>
      </c>
      <c r="D163" t="s">
        <v>55</v>
      </c>
      <c r="E163" t="s">
        <v>2</v>
      </c>
      <c r="F163" t="s">
        <v>9</v>
      </c>
      <c r="G163" t="s">
        <v>4</v>
      </c>
      <c r="H163" t="s">
        <v>10</v>
      </c>
      <c r="I163" t="s">
        <v>11</v>
      </c>
      <c r="J163">
        <v>7</v>
      </c>
      <c r="K163" s="3">
        <v>946.18</v>
      </c>
      <c r="L163" s="3">
        <f>tblBelgaumOrders[[#This Row],[Quantity]]*tblBelgaumOrders[[#This Row],[Order_Amount]]</f>
        <v>6623.2599999999993</v>
      </c>
    </row>
    <row r="164" spans="1:12" x14ac:dyDescent="0.3">
      <c r="A164" t="s">
        <v>205</v>
      </c>
      <c r="B164" s="2">
        <v>45838</v>
      </c>
      <c r="C164" s="2" t="str">
        <f>TEXT(tblBelgaumOrders[[#This Row],[Order_Date]],"mmm")</f>
        <v>Jun</v>
      </c>
      <c r="D164" t="s">
        <v>50</v>
      </c>
      <c r="E164" t="s">
        <v>2</v>
      </c>
      <c r="F164" t="s">
        <v>9</v>
      </c>
      <c r="G164" t="s">
        <v>4</v>
      </c>
      <c r="H164" t="s">
        <v>10</v>
      </c>
      <c r="I164" t="s">
        <v>11</v>
      </c>
      <c r="J164">
        <v>9</v>
      </c>
      <c r="K164" s="3">
        <v>1743.85</v>
      </c>
      <c r="L164" s="3">
        <f>tblBelgaumOrders[[#This Row],[Quantity]]*tblBelgaumOrders[[#This Row],[Order_Amount]]</f>
        <v>15694.65</v>
      </c>
    </row>
    <row r="165" spans="1:12" x14ac:dyDescent="0.3">
      <c r="A165" t="s">
        <v>206</v>
      </c>
      <c r="B165" s="2">
        <v>45917</v>
      </c>
      <c r="C165" s="2" t="str">
        <f>TEXT(tblBelgaumOrders[[#This Row],[Order_Date]],"mmm")</f>
        <v>Sep</v>
      </c>
      <c r="D165" t="s">
        <v>39</v>
      </c>
      <c r="E165" t="s">
        <v>2</v>
      </c>
      <c r="F165" t="s">
        <v>73</v>
      </c>
      <c r="G165" t="s">
        <v>4</v>
      </c>
      <c r="H165" t="s">
        <v>10</v>
      </c>
      <c r="I165" t="s">
        <v>11</v>
      </c>
      <c r="J165">
        <v>1</v>
      </c>
      <c r="K165" s="3">
        <v>404.99</v>
      </c>
      <c r="L165" s="3">
        <f>tblBelgaumOrders[[#This Row],[Quantity]]*tblBelgaumOrders[[#This Row],[Order_Amount]]</f>
        <v>404.99</v>
      </c>
    </row>
    <row r="166" spans="1:12" x14ac:dyDescent="0.3">
      <c r="A166" t="s">
        <v>207</v>
      </c>
      <c r="B166" s="2">
        <v>45692</v>
      </c>
      <c r="C166" s="2" t="str">
        <f>TEXT(tblBelgaumOrders[[#This Row],[Order_Date]],"mmm")</f>
        <v>Feb</v>
      </c>
      <c r="D166" t="s">
        <v>34</v>
      </c>
      <c r="E166" t="s">
        <v>2</v>
      </c>
      <c r="F166" t="s">
        <v>26</v>
      </c>
      <c r="G166" t="s">
        <v>4</v>
      </c>
      <c r="H166" t="s">
        <v>5</v>
      </c>
      <c r="I166" t="s">
        <v>18</v>
      </c>
      <c r="J166">
        <v>3</v>
      </c>
      <c r="K166" s="3">
        <v>1258.0899999999999</v>
      </c>
      <c r="L166" s="3">
        <f>tblBelgaumOrders[[#This Row],[Quantity]]*tblBelgaumOrders[[#This Row],[Order_Amount]]</f>
        <v>3774.2699999999995</v>
      </c>
    </row>
    <row r="167" spans="1:12" x14ac:dyDescent="0.3">
      <c r="A167" t="s">
        <v>208</v>
      </c>
      <c r="B167" s="2">
        <v>45937</v>
      </c>
      <c r="C167" s="2" t="str">
        <f>TEXT(tblBelgaumOrders[[#This Row],[Order_Date]],"mmm")</f>
        <v>Oct</v>
      </c>
      <c r="D167" t="s">
        <v>53</v>
      </c>
      <c r="E167" t="s">
        <v>14</v>
      </c>
      <c r="F167" t="s">
        <v>9</v>
      </c>
      <c r="G167" t="s">
        <v>15</v>
      </c>
      <c r="H167" t="s">
        <v>10</v>
      </c>
      <c r="I167" t="s">
        <v>6</v>
      </c>
      <c r="J167">
        <v>11</v>
      </c>
      <c r="K167" s="3">
        <v>2449.06</v>
      </c>
      <c r="L167" s="3">
        <f>tblBelgaumOrders[[#This Row],[Quantity]]*tblBelgaumOrders[[#This Row],[Order_Amount]]</f>
        <v>26939.66</v>
      </c>
    </row>
    <row r="168" spans="1:12" x14ac:dyDescent="0.3">
      <c r="A168" t="s">
        <v>209</v>
      </c>
      <c r="B168" s="2">
        <v>45690</v>
      </c>
      <c r="C168" s="2" t="str">
        <f>TEXT(tblBelgaumOrders[[#This Row],[Order_Date]],"mmm")</f>
        <v>Feb</v>
      </c>
      <c r="D168" t="s">
        <v>32</v>
      </c>
      <c r="E168" t="s">
        <v>2</v>
      </c>
      <c r="F168" t="s">
        <v>9</v>
      </c>
      <c r="G168" t="s">
        <v>15</v>
      </c>
      <c r="H168" t="s">
        <v>5</v>
      </c>
      <c r="I168" t="s">
        <v>11</v>
      </c>
      <c r="J168">
        <v>5</v>
      </c>
      <c r="K168" s="3">
        <v>953.31</v>
      </c>
      <c r="L168" s="3">
        <f>tblBelgaumOrders[[#This Row],[Quantity]]*tblBelgaumOrders[[#This Row],[Order_Amount]]</f>
        <v>4766.5499999999993</v>
      </c>
    </row>
    <row r="169" spans="1:12" x14ac:dyDescent="0.3">
      <c r="A169" t="s">
        <v>210</v>
      </c>
      <c r="B169" s="2">
        <v>45936</v>
      </c>
      <c r="C169" s="2" t="str">
        <f>TEXT(tblBelgaumOrders[[#This Row],[Order_Date]],"mmm")</f>
        <v>Oct</v>
      </c>
      <c r="D169" t="s">
        <v>55</v>
      </c>
      <c r="E169" t="s">
        <v>2</v>
      </c>
      <c r="F169" t="s">
        <v>40</v>
      </c>
      <c r="G169" t="s">
        <v>4</v>
      </c>
      <c r="H169" t="s">
        <v>10</v>
      </c>
      <c r="I169" t="s">
        <v>18</v>
      </c>
      <c r="J169">
        <v>6</v>
      </c>
      <c r="K169" s="3">
        <v>877.37</v>
      </c>
      <c r="L169" s="3">
        <f>tblBelgaumOrders[[#This Row],[Quantity]]*tblBelgaumOrders[[#This Row],[Order_Amount]]</f>
        <v>5264.22</v>
      </c>
    </row>
    <row r="170" spans="1:12" x14ac:dyDescent="0.3">
      <c r="A170" t="s">
        <v>211</v>
      </c>
      <c r="B170" s="2">
        <v>45846</v>
      </c>
      <c r="C170" s="2" t="str">
        <f>TEXT(tblBelgaumOrders[[#This Row],[Order_Date]],"mmm")</f>
        <v>Jul</v>
      </c>
      <c r="D170" t="s">
        <v>79</v>
      </c>
      <c r="E170" t="s">
        <v>14</v>
      </c>
      <c r="F170" t="s">
        <v>40</v>
      </c>
      <c r="G170" t="s">
        <v>17</v>
      </c>
      <c r="H170" t="s">
        <v>10</v>
      </c>
      <c r="I170" t="s">
        <v>82</v>
      </c>
      <c r="J170">
        <v>21</v>
      </c>
      <c r="K170" s="3">
        <v>0</v>
      </c>
      <c r="L170" s="3">
        <f>tblBelgaumOrders[[#This Row],[Quantity]]*tblBelgaumOrders[[#This Row],[Order_Amount]]</f>
        <v>0</v>
      </c>
    </row>
    <row r="171" spans="1:12" x14ac:dyDescent="0.3">
      <c r="A171" t="s">
        <v>212</v>
      </c>
      <c r="B171" s="2">
        <v>45846</v>
      </c>
      <c r="C171" s="2" t="str">
        <f>TEXT(tblBelgaumOrders[[#This Row],[Order_Date]],"mmm")</f>
        <v>Jul</v>
      </c>
      <c r="D171" t="s">
        <v>42</v>
      </c>
      <c r="E171" t="s">
        <v>2</v>
      </c>
      <c r="F171" t="s">
        <v>9</v>
      </c>
      <c r="G171" t="s">
        <v>4</v>
      </c>
      <c r="H171" t="s">
        <v>10</v>
      </c>
      <c r="I171" t="s">
        <v>82</v>
      </c>
      <c r="J171">
        <v>3</v>
      </c>
      <c r="K171" s="3">
        <v>581.73</v>
      </c>
      <c r="L171" s="3">
        <f>tblBelgaumOrders[[#This Row],[Quantity]]*tblBelgaumOrders[[#This Row],[Order_Amount]]</f>
        <v>1745.19</v>
      </c>
    </row>
    <row r="172" spans="1:12" x14ac:dyDescent="0.3">
      <c r="A172" t="s">
        <v>213</v>
      </c>
      <c r="B172" s="2">
        <v>45822</v>
      </c>
      <c r="C172" s="2" t="str">
        <f>TEXT(tblBelgaumOrders[[#This Row],[Order_Date]],"mmm")</f>
        <v>Jun</v>
      </c>
      <c r="D172" t="s">
        <v>1</v>
      </c>
      <c r="E172" t="s">
        <v>2</v>
      </c>
      <c r="F172" t="s">
        <v>26</v>
      </c>
      <c r="G172" t="s">
        <v>4</v>
      </c>
      <c r="H172" t="s">
        <v>5</v>
      </c>
      <c r="I172" t="s">
        <v>11</v>
      </c>
      <c r="J172">
        <v>8</v>
      </c>
      <c r="K172" s="3">
        <v>4151.21</v>
      </c>
      <c r="L172" s="3">
        <f>tblBelgaumOrders[[#This Row],[Quantity]]*tblBelgaumOrders[[#This Row],[Order_Amount]]</f>
        <v>33209.68</v>
      </c>
    </row>
    <row r="173" spans="1:12" x14ac:dyDescent="0.3">
      <c r="A173" t="s">
        <v>214</v>
      </c>
      <c r="B173" s="2">
        <v>45679</v>
      </c>
      <c r="C173" s="2" t="str">
        <f>TEXT(tblBelgaumOrders[[#This Row],[Order_Date]],"mmm")</f>
        <v>Jan</v>
      </c>
      <c r="D173" t="s">
        <v>34</v>
      </c>
      <c r="E173" t="s">
        <v>2</v>
      </c>
      <c r="F173" t="s">
        <v>77</v>
      </c>
      <c r="G173" t="s">
        <v>4</v>
      </c>
      <c r="H173" t="s">
        <v>5</v>
      </c>
      <c r="I173" t="s">
        <v>11</v>
      </c>
      <c r="J173">
        <v>7</v>
      </c>
      <c r="K173" s="3">
        <v>6437.11</v>
      </c>
      <c r="L173" s="3">
        <f>tblBelgaumOrders[[#This Row],[Quantity]]*tblBelgaumOrders[[#This Row],[Order_Amount]]</f>
        <v>45059.77</v>
      </c>
    </row>
    <row r="174" spans="1:12" x14ac:dyDescent="0.3">
      <c r="A174" t="s">
        <v>215</v>
      </c>
      <c r="B174" s="2">
        <v>46005</v>
      </c>
      <c r="C174" s="2" t="str">
        <f>TEXT(tblBelgaumOrders[[#This Row],[Order_Date]],"mmm")</f>
        <v>Dec</v>
      </c>
      <c r="D174" t="s">
        <v>58</v>
      </c>
      <c r="E174" t="s">
        <v>24</v>
      </c>
      <c r="F174" t="s">
        <v>9</v>
      </c>
      <c r="G174" t="s">
        <v>4</v>
      </c>
      <c r="H174" t="s">
        <v>5</v>
      </c>
      <c r="I174" t="s">
        <v>11</v>
      </c>
      <c r="J174">
        <v>5</v>
      </c>
      <c r="K174" s="3">
        <v>920.21</v>
      </c>
      <c r="L174" s="3">
        <f>tblBelgaumOrders[[#This Row],[Quantity]]*tblBelgaumOrders[[#This Row],[Order_Amount]]</f>
        <v>4601.05</v>
      </c>
    </row>
    <row r="175" spans="1:12" x14ac:dyDescent="0.3">
      <c r="A175" t="s">
        <v>216</v>
      </c>
      <c r="B175" s="2">
        <v>45843</v>
      </c>
      <c r="C175" s="2" t="str">
        <f>TEXT(tblBelgaumOrders[[#This Row],[Order_Date]],"mmm")</f>
        <v>Jul</v>
      </c>
      <c r="D175" t="s">
        <v>29</v>
      </c>
      <c r="E175" t="s">
        <v>24</v>
      </c>
      <c r="F175" t="s">
        <v>9</v>
      </c>
      <c r="G175" t="s">
        <v>4</v>
      </c>
      <c r="H175" t="s">
        <v>10</v>
      </c>
      <c r="I175" t="s">
        <v>11</v>
      </c>
      <c r="J175">
        <v>17</v>
      </c>
      <c r="K175" s="3">
        <v>4199.01</v>
      </c>
      <c r="L175" s="3">
        <f>tblBelgaumOrders[[#This Row],[Quantity]]*tblBelgaumOrders[[#This Row],[Order_Amount]]</f>
        <v>71383.17</v>
      </c>
    </row>
    <row r="176" spans="1:12" x14ac:dyDescent="0.3">
      <c r="A176" t="s">
        <v>217</v>
      </c>
      <c r="B176" s="2">
        <v>45929</v>
      </c>
      <c r="C176" s="2" t="str">
        <f>TEXT(tblBelgaumOrders[[#This Row],[Order_Date]],"mmm")</f>
        <v>Sep</v>
      </c>
      <c r="D176" t="s">
        <v>34</v>
      </c>
      <c r="E176" t="s">
        <v>2</v>
      </c>
      <c r="F176" t="s">
        <v>26</v>
      </c>
      <c r="G176" t="s">
        <v>4</v>
      </c>
      <c r="H176" t="s">
        <v>10</v>
      </c>
      <c r="I176" t="s">
        <v>18</v>
      </c>
      <c r="J176">
        <v>8</v>
      </c>
      <c r="K176" s="3">
        <v>4582</v>
      </c>
      <c r="L176" s="3">
        <f>tblBelgaumOrders[[#This Row],[Quantity]]*tblBelgaumOrders[[#This Row],[Order_Amount]]</f>
        <v>36656</v>
      </c>
    </row>
    <row r="177" spans="1:12" x14ac:dyDescent="0.3">
      <c r="A177" t="s">
        <v>218</v>
      </c>
      <c r="B177" s="2">
        <v>45945</v>
      </c>
      <c r="C177" s="2" t="str">
        <f>TEXT(tblBelgaumOrders[[#This Row],[Order_Date]],"mmm")</f>
        <v>Oct</v>
      </c>
      <c r="D177" t="s">
        <v>1</v>
      </c>
      <c r="E177" t="s">
        <v>2</v>
      </c>
      <c r="F177" t="s">
        <v>3</v>
      </c>
      <c r="G177" t="s">
        <v>4</v>
      </c>
      <c r="H177" t="s">
        <v>63</v>
      </c>
      <c r="I177" t="s">
        <v>11</v>
      </c>
      <c r="J177">
        <v>8</v>
      </c>
      <c r="K177" s="3">
        <v>1809.82</v>
      </c>
      <c r="L177" s="3">
        <f>tblBelgaumOrders[[#This Row],[Quantity]]*tblBelgaumOrders[[#This Row],[Order_Amount]]</f>
        <v>14478.56</v>
      </c>
    </row>
    <row r="178" spans="1:12" x14ac:dyDescent="0.3">
      <c r="A178" t="s">
        <v>219</v>
      </c>
      <c r="B178" s="2">
        <v>45727</v>
      </c>
      <c r="C178" s="2" t="str">
        <f>TEXT(tblBelgaumOrders[[#This Row],[Order_Date]],"mmm")</f>
        <v>Mar</v>
      </c>
      <c r="D178" t="s">
        <v>20</v>
      </c>
      <c r="E178" t="s">
        <v>2</v>
      </c>
      <c r="F178" t="s">
        <v>73</v>
      </c>
      <c r="G178" t="s">
        <v>4</v>
      </c>
      <c r="H178" t="s">
        <v>10</v>
      </c>
      <c r="I178" t="s">
        <v>6</v>
      </c>
      <c r="J178">
        <v>6</v>
      </c>
      <c r="K178" s="3">
        <v>2899.77</v>
      </c>
      <c r="L178" s="3">
        <f>tblBelgaumOrders[[#This Row],[Quantity]]*tblBelgaumOrders[[#This Row],[Order_Amount]]</f>
        <v>17398.62</v>
      </c>
    </row>
    <row r="179" spans="1:12" x14ac:dyDescent="0.3">
      <c r="A179" t="s">
        <v>220</v>
      </c>
      <c r="B179" s="2">
        <v>45691</v>
      </c>
      <c r="C179" s="2" t="str">
        <f>TEXT(tblBelgaumOrders[[#This Row],[Order_Date]],"mmm")</f>
        <v>Feb</v>
      </c>
      <c r="D179" t="s">
        <v>39</v>
      </c>
      <c r="E179" t="s">
        <v>2</v>
      </c>
      <c r="F179" t="s">
        <v>73</v>
      </c>
      <c r="G179" t="s">
        <v>17</v>
      </c>
      <c r="H179" t="s">
        <v>5</v>
      </c>
      <c r="I179" t="s">
        <v>46</v>
      </c>
      <c r="J179">
        <v>3</v>
      </c>
      <c r="K179" s="3">
        <v>0</v>
      </c>
      <c r="L179" s="3">
        <f>tblBelgaumOrders[[#This Row],[Quantity]]*tblBelgaumOrders[[#This Row],[Order_Amount]]</f>
        <v>0</v>
      </c>
    </row>
    <row r="180" spans="1:12" x14ac:dyDescent="0.3">
      <c r="A180" t="s">
        <v>221</v>
      </c>
      <c r="B180" s="2">
        <v>45918</v>
      </c>
      <c r="C180" s="2" t="str">
        <f>TEXT(tblBelgaumOrders[[#This Row],[Order_Date]],"mmm")</f>
        <v>Sep</v>
      </c>
      <c r="D180" t="s">
        <v>50</v>
      </c>
      <c r="E180" t="s">
        <v>2</v>
      </c>
      <c r="F180" t="s">
        <v>9</v>
      </c>
      <c r="G180" t="s">
        <v>4</v>
      </c>
      <c r="H180" t="s">
        <v>5</v>
      </c>
      <c r="I180" t="s">
        <v>11</v>
      </c>
      <c r="J180">
        <v>9</v>
      </c>
      <c r="K180" s="3">
        <v>1771.25</v>
      </c>
      <c r="L180" s="3">
        <f>tblBelgaumOrders[[#This Row],[Quantity]]*tblBelgaumOrders[[#This Row],[Order_Amount]]</f>
        <v>15941.25</v>
      </c>
    </row>
    <row r="181" spans="1:12" x14ac:dyDescent="0.3">
      <c r="A181" t="s">
        <v>222</v>
      </c>
      <c r="B181" s="2">
        <v>45897</v>
      </c>
      <c r="C181" s="2" t="str">
        <f>TEXT(tblBelgaumOrders[[#This Row],[Order_Date]],"mmm")</f>
        <v>Aug</v>
      </c>
      <c r="D181" t="s">
        <v>39</v>
      </c>
      <c r="E181" t="s">
        <v>2</v>
      </c>
      <c r="F181" t="s">
        <v>73</v>
      </c>
      <c r="G181" t="s">
        <v>4</v>
      </c>
      <c r="H181" t="s">
        <v>10</v>
      </c>
      <c r="I181" t="s">
        <v>6</v>
      </c>
      <c r="J181">
        <v>8</v>
      </c>
      <c r="K181" s="3">
        <v>3579.8</v>
      </c>
      <c r="L181" s="3">
        <f>tblBelgaumOrders[[#This Row],[Quantity]]*tblBelgaumOrders[[#This Row],[Order_Amount]]</f>
        <v>28638.400000000001</v>
      </c>
    </row>
    <row r="182" spans="1:12" x14ac:dyDescent="0.3">
      <c r="A182" t="s">
        <v>223</v>
      </c>
      <c r="B182" s="2">
        <v>45867</v>
      </c>
      <c r="C182" s="2" t="str">
        <f>TEXT(tblBelgaumOrders[[#This Row],[Order_Date]],"mmm")</f>
        <v>Jul</v>
      </c>
      <c r="D182" t="s">
        <v>20</v>
      </c>
      <c r="E182" t="s">
        <v>2</v>
      </c>
      <c r="F182" t="s">
        <v>3</v>
      </c>
      <c r="G182" t="s">
        <v>4</v>
      </c>
      <c r="H182" t="s">
        <v>10</v>
      </c>
      <c r="I182" t="s">
        <v>6</v>
      </c>
      <c r="J182">
        <v>3</v>
      </c>
      <c r="K182" s="3">
        <v>995.89</v>
      </c>
      <c r="L182" s="3">
        <f>tblBelgaumOrders[[#This Row],[Quantity]]*tblBelgaumOrders[[#This Row],[Order_Amount]]</f>
        <v>2987.67</v>
      </c>
    </row>
    <row r="183" spans="1:12" x14ac:dyDescent="0.3">
      <c r="A183" t="s">
        <v>224</v>
      </c>
      <c r="B183" s="2">
        <v>45940</v>
      </c>
      <c r="C183" s="2" t="str">
        <f>TEXT(tblBelgaumOrders[[#This Row],[Order_Date]],"mmm")</f>
        <v>Oct</v>
      </c>
      <c r="D183" t="s">
        <v>58</v>
      </c>
      <c r="E183" t="s">
        <v>14</v>
      </c>
      <c r="F183" t="s">
        <v>9</v>
      </c>
      <c r="G183" t="s">
        <v>4</v>
      </c>
      <c r="H183" t="s">
        <v>5</v>
      </c>
      <c r="I183" t="s">
        <v>18</v>
      </c>
      <c r="J183">
        <v>22</v>
      </c>
      <c r="K183" s="3">
        <v>3333.56</v>
      </c>
      <c r="L183" s="3">
        <f>tblBelgaumOrders[[#This Row],[Quantity]]*tblBelgaumOrders[[#This Row],[Order_Amount]]</f>
        <v>73338.319999999992</v>
      </c>
    </row>
    <row r="184" spans="1:12" x14ac:dyDescent="0.3">
      <c r="A184" t="s">
        <v>225</v>
      </c>
      <c r="B184" s="2">
        <v>45742</v>
      </c>
      <c r="C184" s="2" t="str">
        <f>TEXT(tblBelgaumOrders[[#This Row],[Order_Date]],"mmm")</f>
        <v>Mar</v>
      </c>
      <c r="D184" t="s">
        <v>58</v>
      </c>
      <c r="E184" t="s">
        <v>2</v>
      </c>
      <c r="F184" t="s">
        <v>40</v>
      </c>
      <c r="G184" t="s">
        <v>4</v>
      </c>
      <c r="H184" t="s">
        <v>63</v>
      </c>
      <c r="I184" t="s">
        <v>18</v>
      </c>
      <c r="J184">
        <v>2</v>
      </c>
      <c r="K184" s="3">
        <v>288.12</v>
      </c>
      <c r="L184" s="3">
        <f>tblBelgaumOrders[[#This Row],[Quantity]]*tblBelgaumOrders[[#This Row],[Order_Amount]]</f>
        <v>576.24</v>
      </c>
    </row>
    <row r="185" spans="1:12" x14ac:dyDescent="0.3">
      <c r="A185" t="s">
        <v>226</v>
      </c>
      <c r="B185" s="2">
        <v>45983</v>
      </c>
      <c r="C185" s="2" t="str">
        <f>TEXT(tblBelgaumOrders[[#This Row],[Order_Date]],"mmm")</f>
        <v>Nov</v>
      </c>
      <c r="D185" t="s">
        <v>39</v>
      </c>
      <c r="E185" t="s">
        <v>2</v>
      </c>
      <c r="F185" t="s">
        <v>26</v>
      </c>
      <c r="G185" t="s">
        <v>4</v>
      </c>
      <c r="H185" t="s">
        <v>10</v>
      </c>
      <c r="I185" t="s">
        <v>6</v>
      </c>
      <c r="J185">
        <v>10</v>
      </c>
      <c r="K185" s="3">
        <v>7100.81</v>
      </c>
      <c r="L185" s="3">
        <f>tblBelgaumOrders[[#This Row],[Quantity]]*tblBelgaumOrders[[#This Row],[Order_Amount]]</f>
        <v>71008.100000000006</v>
      </c>
    </row>
    <row r="186" spans="1:12" x14ac:dyDescent="0.3">
      <c r="A186" t="s">
        <v>227</v>
      </c>
      <c r="B186" s="2">
        <v>45736</v>
      </c>
      <c r="C186" s="2" t="str">
        <f>TEXT(tblBelgaumOrders[[#This Row],[Order_Date]],"mmm")</f>
        <v>Mar</v>
      </c>
      <c r="D186" t="s">
        <v>58</v>
      </c>
      <c r="E186" t="s">
        <v>14</v>
      </c>
      <c r="F186" t="s">
        <v>40</v>
      </c>
      <c r="G186" t="s">
        <v>4</v>
      </c>
      <c r="H186" t="s">
        <v>5</v>
      </c>
      <c r="I186" t="s">
        <v>6</v>
      </c>
      <c r="J186">
        <v>6</v>
      </c>
      <c r="K186" s="3">
        <v>766.78</v>
      </c>
      <c r="L186" s="3">
        <f>tblBelgaumOrders[[#This Row],[Quantity]]*tblBelgaumOrders[[#This Row],[Order_Amount]]</f>
        <v>4600.68</v>
      </c>
    </row>
    <row r="187" spans="1:12" x14ac:dyDescent="0.3">
      <c r="A187" t="s">
        <v>228</v>
      </c>
      <c r="B187" s="2">
        <v>45986</v>
      </c>
      <c r="C187" s="2" t="str">
        <f>TEXT(tblBelgaumOrders[[#This Row],[Order_Date]],"mmm")</f>
        <v>Nov</v>
      </c>
      <c r="D187" t="s">
        <v>13</v>
      </c>
      <c r="E187" t="s">
        <v>14</v>
      </c>
      <c r="F187" t="s">
        <v>40</v>
      </c>
      <c r="G187" t="s">
        <v>4</v>
      </c>
      <c r="H187" t="s">
        <v>5</v>
      </c>
      <c r="I187" t="s">
        <v>6</v>
      </c>
      <c r="J187">
        <v>23</v>
      </c>
      <c r="K187" s="3">
        <v>3399.6</v>
      </c>
      <c r="L187" s="3">
        <f>tblBelgaumOrders[[#This Row],[Quantity]]*tblBelgaumOrders[[#This Row],[Order_Amount]]</f>
        <v>78190.8</v>
      </c>
    </row>
    <row r="188" spans="1:12" x14ac:dyDescent="0.3">
      <c r="A188" t="s">
        <v>229</v>
      </c>
      <c r="B188" s="2">
        <v>45812</v>
      </c>
      <c r="C188" s="2" t="str">
        <f>TEXT(tblBelgaumOrders[[#This Row],[Order_Date]],"mmm")</f>
        <v>Jun</v>
      </c>
      <c r="D188" t="s">
        <v>55</v>
      </c>
      <c r="E188" t="s">
        <v>2</v>
      </c>
      <c r="F188" t="s">
        <v>21</v>
      </c>
      <c r="G188" t="s">
        <v>4</v>
      </c>
      <c r="H188" t="s">
        <v>10</v>
      </c>
      <c r="I188" t="s">
        <v>6</v>
      </c>
      <c r="J188">
        <v>3</v>
      </c>
      <c r="K188" s="3">
        <v>364.95</v>
      </c>
      <c r="L188" s="3">
        <f>tblBelgaumOrders[[#This Row],[Quantity]]*tblBelgaumOrders[[#This Row],[Order_Amount]]</f>
        <v>1094.8499999999999</v>
      </c>
    </row>
    <row r="189" spans="1:12" x14ac:dyDescent="0.3">
      <c r="A189" t="s">
        <v>230</v>
      </c>
      <c r="B189" s="2">
        <v>45905</v>
      </c>
      <c r="C189" s="2" t="str">
        <f>TEXT(tblBelgaumOrders[[#This Row],[Order_Date]],"mmm")</f>
        <v>Sep</v>
      </c>
      <c r="D189" t="s">
        <v>32</v>
      </c>
      <c r="E189" t="s">
        <v>2</v>
      </c>
      <c r="F189" t="s">
        <v>37</v>
      </c>
      <c r="G189" t="s">
        <v>4</v>
      </c>
      <c r="H189" t="s">
        <v>5</v>
      </c>
      <c r="I189" t="s">
        <v>18</v>
      </c>
      <c r="J189">
        <v>6</v>
      </c>
      <c r="K189" s="3">
        <v>1762.5</v>
      </c>
      <c r="L189" s="3">
        <f>tblBelgaumOrders[[#This Row],[Quantity]]*tblBelgaumOrders[[#This Row],[Order_Amount]]</f>
        <v>10575</v>
      </c>
    </row>
    <row r="190" spans="1:12" x14ac:dyDescent="0.3">
      <c r="A190" t="s">
        <v>231</v>
      </c>
      <c r="B190" s="2">
        <v>45724</v>
      </c>
      <c r="C190" s="2" t="str">
        <f>TEXT(tblBelgaumOrders[[#This Row],[Order_Date]],"mmm")</f>
        <v>Mar</v>
      </c>
      <c r="D190" t="s">
        <v>34</v>
      </c>
      <c r="E190" t="s">
        <v>2</v>
      </c>
      <c r="F190" t="s">
        <v>9</v>
      </c>
      <c r="G190" t="s">
        <v>4</v>
      </c>
      <c r="H190" t="s">
        <v>10</v>
      </c>
      <c r="I190" t="s">
        <v>11</v>
      </c>
      <c r="J190">
        <v>3</v>
      </c>
      <c r="K190" s="3">
        <v>436.37</v>
      </c>
      <c r="L190" s="3">
        <f>tblBelgaumOrders[[#This Row],[Quantity]]*tblBelgaumOrders[[#This Row],[Order_Amount]]</f>
        <v>1309.1100000000001</v>
      </c>
    </row>
    <row r="191" spans="1:12" x14ac:dyDescent="0.3">
      <c r="A191" t="s">
        <v>232</v>
      </c>
      <c r="B191" s="2">
        <v>45806</v>
      </c>
      <c r="C191" s="2" t="str">
        <f>TEXT(tblBelgaumOrders[[#This Row],[Order_Date]],"mmm")</f>
        <v>May</v>
      </c>
      <c r="D191" t="s">
        <v>29</v>
      </c>
      <c r="E191" t="s">
        <v>14</v>
      </c>
      <c r="F191" t="s">
        <v>77</v>
      </c>
      <c r="G191" t="s">
        <v>30</v>
      </c>
      <c r="H191" t="s">
        <v>63</v>
      </c>
      <c r="I191" t="s">
        <v>18</v>
      </c>
      <c r="J191">
        <v>24</v>
      </c>
      <c r="K191" s="3">
        <v>26965.040000000001</v>
      </c>
      <c r="L191" s="3">
        <f>tblBelgaumOrders[[#This Row],[Quantity]]*tblBelgaumOrders[[#This Row],[Order_Amount]]</f>
        <v>647160.96</v>
      </c>
    </row>
    <row r="192" spans="1:12" x14ac:dyDescent="0.3">
      <c r="A192" t="s">
        <v>233</v>
      </c>
      <c r="B192" s="2">
        <v>45755</v>
      </c>
      <c r="C192" s="2" t="str">
        <f>TEXT(tblBelgaumOrders[[#This Row],[Order_Date]],"mmm")</f>
        <v>Apr</v>
      </c>
      <c r="D192" t="s">
        <v>58</v>
      </c>
      <c r="E192" t="s">
        <v>2</v>
      </c>
      <c r="F192" t="s">
        <v>37</v>
      </c>
      <c r="G192" t="s">
        <v>4</v>
      </c>
      <c r="H192" t="s">
        <v>10</v>
      </c>
      <c r="I192" t="s">
        <v>11</v>
      </c>
      <c r="J192">
        <v>7</v>
      </c>
      <c r="K192" s="3">
        <v>1622.03</v>
      </c>
      <c r="L192" s="3">
        <f>tblBelgaumOrders[[#This Row],[Quantity]]*tblBelgaumOrders[[#This Row],[Order_Amount]]</f>
        <v>11354.21</v>
      </c>
    </row>
    <row r="193" spans="1:12" x14ac:dyDescent="0.3">
      <c r="A193" t="s">
        <v>234</v>
      </c>
      <c r="B193" s="2">
        <v>45781</v>
      </c>
      <c r="C193" s="2" t="str">
        <f>TEXT(tblBelgaumOrders[[#This Row],[Order_Date]],"mmm")</f>
        <v>May</v>
      </c>
      <c r="D193" t="s">
        <v>48</v>
      </c>
      <c r="E193" t="s">
        <v>2</v>
      </c>
      <c r="F193" t="s">
        <v>9</v>
      </c>
      <c r="G193" t="s">
        <v>4</v>
      </c>
      <c r="H193" t="s">
        <v>5</v>
      </c>
      <c r="I193" t="s">
        <v>18</v>
      </c>
      <c r="J193">
        <v>8</v>
      </c>
      <c r="K193" s="3">
        <v>1326.89</v>
      </c>
      <c r="L193" s="3">
        <f>tblBelgaumOrders[[#This Row],[Quantity]]*tblBelgaumOrders[[#This Row],[Order_Amount]]</f>
        <v>10615.12</v>
      </c>
    </row>
    <row r="194" spans="1:12" x14ac:dyDescent="0.3">
      <c r="A194" t="s">
        <v>235</v>
      </c>
      <c r="B194" s="2">
        <v>45662</v>
      </c>
      <c r="C194" s="2" t="str">
        <f>TEXT(tblBelgaumOrders[[#This Row],[Order_Date]],"mmm")</f>
        <v>Jan</v>
      </c>
      <c r="D194" t="s">
        <v>1</v>
      </c>
      <c r="E194" t="s">
        <v>2</v>
      </c>
      <c r="F194" t="s">
        <v>73</v>
      </c>
      <c r="G194" t="s">
        <v>15</v>
      </c>
      <c r="H194" t="s">
        <v>5</v>
      </c>
      <c r="I194" t="s">
        <v>11</v>
      </c>
      <c r="J194">
        <v>7</v>
      </c>
      <c r="K194" s="3">
        <v>2295.2399999999998</v>
      </c>
      <c r="L194" s="3">
        <f>tblBelgaumOrders[[#This Row],[Quantity]]*tblBelgaumOrders[[#This Row],[Order_Amount]]</f>
        <v>16066.679999999998</v>
      </c>
    </row>
    <row r="195" spans="1:12" x14ac:dyDescent="0.3">
      <c r="A195" t="s">
        <v>236</v>
      </c>
      <c r="B195" s="2">
        <v>45945</v>
      </c>
      <c r="C195" s="2" t="str">
        <f>TEXT(tblBelgaumOrders[[#This Row],[Order_Date]],"mmm")</f>
        <v>Oct</v>
      </c>
      <c r="D195" t="s">
        <v>48</v>
      </c>
      <c r="E195" t="s">
        <v>2</v>
      </c>
      <c r="F195" t="s">
        <v>3</v>
      </c>
      <c r="G195" t="s">
        <v>4</v>
      </c>
      <c r="H195" t="s">
        <v>10</v>
      </c>
      <c r="I195" t="s">
        <v>6</v>
      </c>
      <c r="J195">
        <v>10</v>
      </c>
      <c r="K195" s="3">
        <v>3011.42</v>
      </c>
      <c r="L195" s="3">
        <f>tblBelgaumOrders[[#This Row],[Quantity]]*tblBelgaumOrders[[#This Row],[Order_Amount]]</f>
        <v>30114.2</v>
      </c>
    </row>
    <row r="196" spans="1:12" x14ac:dyDescent="0.3">
      <c r="A196" t="s">
        <v>237</v>
      </c>
      <c r="B196" s="2">
        <v>45718</v>
      </c>
      <c r="C196" s="2" t="str">
        <f>TEXT(tblBelgaumOrders[[#This Row],[Order_Date]],"mmm")</f>
        <v>Mar</v>
      </c>
      <c r="D196" t="s">
        <v>75</v>
      </c>
      <c r="E196" t="s">
        <v>24</v>
      </c>
      <c r="F196" t="s">
        <v>51</v>
      </c>
      <c r="G196" t="s">
        <v>15</v>
      </c>
      <c r="H196" t="s">
        <v>10</v>
      </c>
      <c r="I196" t="s">
        <v>46</v>
      </c>
      <c r="J196">
        <v>7</v>
      </c>
      <c r="K196" s="3">
        <v>12339.23</v>
      </c>
      <c r="L196" s="3">
        <f>tblBelgaumOrders[[#This Row],[Quantity]]*tblBelgaumOrders[[#This Row],[Order_Amount]]</f>
        <v>86374.61</v>
      </c>
    </row>
    <row r="197" spans="1:12" x14ac:dyDescent="0.3">
      <c r="A197" t="s">
        <v>238</v>
      </c>
      <c r="B197" s="2">
        <v>45681</v>
      </c>
      <c r="C197" s="2" t="str">
        <f>TEXT(tblBelgaumOrders[[#This Row],[Order_Date]],"mmm")</f>
        <v>Jan</v>
      </c>
      <c r="D197" t="s">
        <v>8</v>
      </c>
      <c r="E197" t="s">
        <v>2</v>
      </c>
      <c r="F197" t="s">
        <v>51</v>
      </c>
      <c r="G197" t="s">
        <v>4</v>
      </c>
      <c r="H197" t="s">
        <v>10</v>
      </c>
      <c r="I197" t="s">
        <v>6</v>
      </c>
      <c r="J197">
        <v>9</v>
      </c>
      <c r="K197" s="3">
        <v>13508.67</v>
      </c>
      <c r="L197" s="3">
        <f>tblBelgaumOrders[[#This Row],[Quantity]]*tblBelgaumOrders[[#This Row],[Order_Amount]]</f>
        <v>121578.03</v>
      </c>
    </row>
    <row r="198" spans="1:12" x14ac:dyDescent="0.3">
      <c r="A198" t="s">
        <v>239</v>
      </c>
      <c r="B198" s="2">
        <v>45821</v>
      </c>
      <c r="C198" s="2" t="str">
        <f>TEXT(tblBelgaumOrders[[#This Row],[Order_Date]],"mmm")</f>
        <v>Jun</v>
      </c>
      <c r="D198" t="s">
        <v>58</v>
      </c>
      <c r="E198" t="s">
        <v>2</v>
      </c>
      <c r="F198" t="s">
        <v>37</v>
      </c>
      <c r="G198" t="s">
        <v>17</v>
      </c>
      <c r="H198" t="s">
        <v>5</v>
      </c>
      <c r="I198" t="s">
        <v>6</v>
      </c>
      <c r="J198">
        <v>9</v>
      </c>
      <c r="K198" s="3">
        <v>0</v>
      </c>
      <c r="L198" s="3">
        <f>tblBelgaumOrders[[#This Row],[Quantity]]*tblBelgaumOrders[[#This Row],[Order_Amount]]</f>
        <v>0</v>
      </c>
    </row>
    <row r="199" spans="1:12" x14ac:dyDescent="0.3">
      <c r="A199" t="s">
        <v>240</v>
      </c>
      <c r="B199" s="2">
        <v>45946</v>
      </c>
      <c r="C199" s="2" t="str">
        <f>TEXT(tblBelgaumOrders[[#This Row],[Order_Date]],"mmm")</f>
        <v>Oct</v>
      </c>
      <c r="D199" t="s">
        <v>23</v>
      </c>
      <c r="E199" t="s">
        <v>2</v>
      </c>
      <c r="F199" t="s">
        <v>9</v>
      </c>
      <c r="G199" t="s">
        <v>4</v>
      </c>
      <c r="H199" t="s">
        <v>10</v>
      </c>
      <c r="I199" t="s">
        <v>11</v>
      </c>
      <c r="J199">
        <v>5</v>
      </c>
      <c r="K199" s="3">
        <v>1105.25</v>
      </c>
      <c r="L199" s="3">
        <f>tblBelgaumOrders[[#This Row],[Quantity]]*tblBelgaumOrders[[#This Row],[Order_Amount]]</f>
        <v>5526.25</v>
      </c>
    </row>
    <row r="200" spans="1:12" x14ac:dyDescent="0.3">
      <c r="A200" t="s">
        <v>241</v>
      </c>
      <c r="B200" s="2">
        <v>45980</v>
      </c>
      <c r="C200" s="2" t="str">
        <f>TEXT(tblBelgaumOrders[[#This Row],[Order_Date]],"mmm")</f>
        <v>Nov</v>
      </c>
      <c r="D200" t="s">
        <v>67</v>
      </c>
      <c r="E200" t="s">
        <v>2</v>
      </c>
      <c r="F200" t="s">
        <v>3</v>
      </c>
      <c r="G200" t="s">
        <v>4</v>
      </c>
      <c r="H200" t="s">
        <v>63</v>
      </c>
      <c r="I200" t="s">
        <v>6</v>
      </c>
      <c r="J200">
        <v>4</v>
      </c>
      <c r="K200" s="3">
        <v>1230.1500000000001</v>
      </c>
      <c r="L200" s="3">
        <f>tblBelgaumOrders[[#This Row],[Quantity]]*tblBelgaumOrders[[#This Row],[Order_Amount]]</f>
        <v>4920.6000000000004</v>
      </c>
    </row>
    <row r="201" spans="1:12" x14ac:dyDescent="0.3">
      <c r="A201" t="s">
        <v>242</v>
      </c>
      <c r="B201" s="2">
        <v>45956</v>
      </c>
      <c r="C201" s="2" t="str">
        <f>TEXT(tblBelgaumOrders[[#This Row],[Order_Date]],"mmm")</f>
        <v>Oct</v>
      </c>
      <c r="D201" t="s">
        <v>55</v>
      </c>
      <c r="E201" t="s">
        <v>2</v>
      </c>
      <c r="F201" t="s">
        <v>26</v>
      </c>
      <c r="G201" t="s">
        <v>4</v>
      </c>
      <c r="H201" t="s">
        <v>5</v>
      </c>
      <c r="I201" t="s">
        <v>11</v>
      </c>
      <c r="J201">
        <v>4</v>
      </c>
      <c r="K201" s="3">
        <v>1660.92</v>
      </c>
      <c r="L201" s="3">
        <f>tblBelgaumOrders[[#This Row],[Quantity]]*tblBelgaumOrders[[#This Row],[Order_Amount]]</f>
        <v>6643.68</v>
      </c>
    </row>
    <row r="202" spans="1:12" x14ac:dyDescent="0.3">
      <c r="A202" t="s">
        <v>243</v>
      </c>
      <c r="B202" s="2">
        <v>45714</v>
      </c>
      <c r="C202" s="2" t="str">
        <f>TEXT(tblBelgaumOrders[[#This Row],[Order_Date]],"mmm")</f>
        <v>Feb</v>
      </c>
      <c r="D202" t="s">
        <v>48</v>
      </c>
      <c r="E202" t="s">
        <v>2</v>
      </c>
      <c r="F202" t="s">
        <v>3</v>
      </c>
      <c r="G202" t="s">
        <v>4</v>
      </c>
      <c r="H202" t="s">
        <v>5</v>
      </c>
      <c r="I202" t="s">
        <v>11</v>
      </c>
      <c r="J202">
        <v>10</v>
      </c>
      <c r="K202" s="3">
        <v>3386.01</v>
      </c>
      <c r="L202" s="3">
        <f>tblBelgaumOrders[[#This Row],[Quantity]]*tblBelgaumOrders[[#This Row],[Order_Amount]]</f>
        <v>33860.100000000006</v>
      </c>
    </row>
    <row r="203" spans="1:12" x14ac:dyDescent="0.3">
      <c r="A203" t="s">
        <v>244</v>
      </c>
      <c r="B203" s="2">
        <v>45689</v>
      </c>
      <c r="C203" s="2" t="str">
        <f>TEXT(tblBelgaumOrders[[#This Row],[Order_Date]],"mmm")</f>
        <v>Feb</v>
      </c>
      <c r="D203" t="s">
        <v>75</v>
      </c>
      <c r="E203" t="s">
        <v>2</v>
      </c>
      <c r="F203" t="s">
        <v>37</v>
      </c>
      <c r="G203" t="s">
        <v>30</v>
      </c>
      <c r="H203" t="s">
        <v>10</v>
      </c>
      <c r="I203" t="s">
        <v>11</v>
      </c>
      <c r="J203">
        <v>3</v>
      </c>
      <c r="K203" s="3">
        <v>677.03</v>
      </c>
      <c r="L203" s="3">
        <f>tblBelgaumOrders[[#This Row],[Quantity]]*tblBelgaumOrders[[#This Row],[Order_Amount]]</f>
        <v>2031.09</v>
      </c>
    </row>
    <row r="204" spans="1:12" x14ac:dyDescent="0.3">
      <c r="A204" t="s">
        <v>245</v>
      </c>
      <c r="B204" s="2">
        <v>45930</v>
      </c>
      <c r="C204" s="2" t="str">
        <f>TEXT(tblBelgaumOrders[[#This Row],[Order_Date]],"mmm")</f>
        <v>Sep</v>
      </c>
      <c r="D204" t="s">
        <v>53</v>
      </c>
      <c r="E204" t="s">
        <v>2</v>
      </c>
      <c r="F204" t="s">
        <v>26</v>
      </c>
      <c r="G204" t="s">
        <v>17</v>
      </c>
      <c r="H204" t="s">
        <v>5</v>
      </c>
      <c r="I204" t="s">
        <v>18</v>
      </c>
      <c r="J204">
        <v>5</v>
      </c>
      <c r="K204" s="3">
        <v>0</v>
      </c>
      <c r="L204" s="3">
        <f>tblBelgaumOrders[[#This Row],[Quantity]]*tblBelgaumOrders[[#This Row],[Order_Amount]]</f>
        <v>0</v>
      </c>
    </row>
    <row r="205" spans="1:12" x14ac:dyDescent="0.3">
      <c r="A205" t="s">
        <v>246</v>
      </c>
      <c r="B205" s="2">
        <v>45756</v>
      </c>
      <c r="C205" s="2" t="str">
        <f>TEXT(tblBelgaumOrders[[#This Row],[Order_Date]],"mmm")</f>
        <v>Apr</v>
      </c>
      <c r="D205" t="s">
        <v>50</v>
      </c>
      <c r="E205" t="s">
        <v>2</v>
      </c>
      <c r="F205" t="s">
        <v>3</v>
      </c>
      <c r="G205" t="s">
        <v>30</v>
      </c>
      <c r="H205" t="s">
        <v>63</v>
      </c>
      <c r="I205" t="s">
        <v>18</v>
      </c>
      <c r="J205">
        <v>4</v>
      </c>
      <c r="K205" s="3">
        <v>1210.71</v>
      </c>
      <c r="L205" s="3">
        <f>tblBelgaumOrders[[#This Row],[Quantity]]*tblBelgaumOrders[[#This Row],[Order_Amount]]</f>
        <v>4842.84</v>
      </c>
    </row>
    <row r="206" spans="1:12" x14ac:dyDescent="0.3">
      <c r="A206" t="s">
        <v>247</v>
      </c>
      <c r="B206" s="2">
        <v>45908</v>
      </c>
      <c r="C206" s="2" t="str">
        <f>TEXT(tblBelgaumOrders[[#This Row],[Order_Date]],"mmm")</f>
        <v>Sep</v>
      </c>
      <c r="D206" t="s">
        <v>53</v>
      </c>
      <c r="E206" t="s">
        <v>2</v>
      </c>
      <c r="F206" t="s">
        <v>37</v>
      </c>
      <c r="G206" t="s">
        <v>30</v>
      </c>
      <c r="H206" t="s">
        <v>5</v>
      </c>
      <c r="I206" t="s">
        <v>11</v>
      </c>
      <c r="J206">
        <v>10</v>
      </c>
      <c r="K206" s="3">
        <v>2543.14</v>
      </c>
      <c r="L206" s="3">
        <f>tblBelgaumOrders[[#This Row],[Quantity]]*tblBelgaumOrders[[#This Row],[Order_Amount]]</f>
        <v>25431.399999999998</v>
      </c>
    </row>
    <row r="207" spans="1:12" x14ac:dyDescent="0.3">
      <c r="A207" t="s">
        <v>248</v>
      </c>
      <c r="B207" s="2">
        <v>45852</v>
      </c>
      <c r="C207" s="2" t="str">
        <f>TEXT(tblBelgaumOrders[[#This Row],[Order_Date]],"mmm")</f>
        <v>Jul</v>
      </c>
      <c r="D207" t="s">
        <v>29</v>
      </c>
      <c r="E207" t="s">
        <v>14</v>
      </c>
      <c r="F207" t="s">
        <v>35</v>
      </c>
      <c r="G207" t="s">
        <v>15</v>
      </c>
      <c r="H207" t="s">
        <v>10</v>
      </c>
      <c r="I207" t="s">
        <v>11</v>
      </c>
      <c r="J207">
        <v>8</v>
      </c>
      <c r="K207" s="3">
        <v>24520.14</v>
      </c>
      <c r="L207" s="3">
        <f>tblBelgaumOrders[[#This Row],[Quantity]]*tblBelgaumOrders[[#This Row],[Order_Amount]]</f>
        <v>196161.12</v>
      </c>
    </row>
    <row r="208" spans="1:12" x14ac:dyDescent="0.3">
      <c r="A208" t="s">
        <v>249</v>
      </c>
      <c r="B208" s="2">
        <v>45789</v>
      </c>
      <c r="C208" s="2" t="str">
        <f>TEXT(tblBelgaumOrders[[#This Row],[Order_Date]],"mmm")</f>
        <v>May</v>
      </c>
      <c r="D208" t="s">
        <v>55</v>
      </c>
      <c r="E208" t="s">
        <v>2</v>
      </c>
      <c r="F208" t="s">
        <v>21</v>
      </c>
      <c r="G208" t="s">
        <v>4</v>
      </c>
      <c r="H208" t="s">
        <v>10</v>
      </c>
      <c r="I208" t="s">
        <v>11</v>
      </c>
      <c r="J208">
        <v>2</v>
      </c>
      <c r="K208" s="3">
        <v>268.66000000000003</v>
      </c>
      <c r="L208" s="3">
        <f>tblBelgaumOrders[[#This Row],[Quantity]]*tblBelgaumOrders[[#This Row],[Order_Amount]]</f>
        <v>537.32000000000005</v>
      </c>
    </row>
    <row r="209" spans="1:12" x14ac:dyDescent="0.3">
      <c r="A209" t="s">
        <v>250</v>
      </c>
      <c r="B209" s="2">
        <v>45958</v>
      </c>
      <c r="C209" s="2" t="str">
        <f>TEXT(tblBelgaumOrders[[#This Row],[Order_Date]],"mmm")</f>
        <v>Oct</v>
      </c>
      <c r="D209" t="s">
        <v>50</v>
      </c>
      <c r="E209" t="s">
        <v>2</v>
      </c>
      <c r="F209" t="s">
        <v>26</v>
      </c>
      <c r="G209" t="s">
        <v>4</v>
      </c>
      <c r="H209" t="s">
        <v>5</v>
      </c>
      <c r="I209" t="s">
        <v>11</v>
      </c>
      <c r="J209">
        <v>7</v>
      </c>
      <c r="K209" s="3">
        <v>3584.11</v>
      </c>
      <c r="L209" s="3">
        <f>tblBelgaumOrders[[#This Row],[Quantity]]*tblBelgaumOrders[[#This Row],[Order_Amount]]</f>
        <v>25088.77</v>
      </c>
    </row>
    <row r="210" spans="1:12" x14ac:dyDescent="0.3">
      <c r="A210" t="s">
        <v>251</v>
      </c>
      <c r="B210" s="2">
        <v>45899</v>
      </c>
      <c r="C210" s="2" t="str">
        <f>TEXT(tblBelgaumOrders[[#This Row],[Order_Date]],"mmm")</f>
        <v>Aug</v>
      </c>
      <c r="D210" t="s">
        <v>1</v>
      </c>
      <c r="E210" t="s">
        <v>14</v>
      </c>
      <c r="F210" t="s">
        <v>9</v>
      </c>
      <c r="G210" t="s">
        <v>30</v>
      </c>
      <c r="H210" t="s">
        <v>63</v>
      </c>
      <c r="I210" t="s">
        <v>11</v>
      </c>
      <c r="J210">
        <v>21</v>
      </c>
      <c r="K210" s="3">
        <v>3917.85</v>
      </c>
      <c r="L210" s="3">
        <f>tblBelgaumOrders[[#This Row],[Quantity]]*tblBelgaumOrders[[#This Row],[Order_Amount]]</f>
        <v>82274.849999999991</v>
      </c>
    </row>
    <row r="211" spans="1:12" x14ac:dyDescent="0.3">
      <c r="A211" t="s">
        <v>252</v>
      </c>
      <c r="B211" s="2">
        <v>45760</v>
      </c>
      <c r="C211" s="2" t="str">
        <f>TEXT(tblBelgaumOrders[[#This Row],[Order_Date]],"mmm")</f>
        <v>Apr</v>
      </c>
      <c r="D211" t="s">
        <v>23</v>
      </c>
      <c r="E211" t="s">
        <v>2</v>
      </c>
      <c r="F211" t="s">
        <v>26</v>
      </c>
      <c r="G211" t="s">
        <v>17</v>
      </c>
      <c r="H211" t="s">
        <v>10</v>
      </c>
      <c r="I211" t="s">
        <v>6</v>
      </c>
      <c r="J211">
        <v>9</v>
      </c>
      <c r="K211" s="3">
        <v>0</v>
      </c>
      <c r="L211" s="3">
        <f>tblBelgaumOrders[[#This Row],[Quantity]]*tblBelgaumOrders[[#This Row],[Order_Amount]]</f>
        <v>0</v>
      </c>
    </row>
    <row r="212" spans="1:12" x14ac:dyDescent="0.3">
      <c r="A212" t="s">
        <v>253</v>
      </c>
      <c r="B212" s="2">
        <v>45677</v>
      </c>
      <c r="C212" s="2" t="str">
        <f>TEXT(tblBelgaumOrders[[#This Row],[Order_Date]],"mmm")</f>
        <v>Jan</v>
      </c>
      <c r="D212" t="s">
        <v>58</v>
      </c>
      <c r="E212" t="s">
        <v>2</v>
      </c>
      <c r="F212" t="s">
        <v>21</v>
      </c>
      <c r="G212" t="s">
        <v>30</v>
      </c>
      <c r="H212" t="s">
        <v>10</v>
      </c>
      <c r="I212" t="s">
        <v>18</v>
      </c>
      <c r="J212">
        <v>8</v>
      </c>
      <c r="K212" s="3">
        <v>827.32</v>
      </c>
      <c r="L212" s="3">
        <f>tblBelgaumOrders[[#This Row],[Quantity]]*tblBelgaumOrders[[#This Row],[Order_Amount]]</f>
        <v>6618.56</v>
      </c>
    </row>
    <row r="213" spans="1:12" x14ac:dyDescent="0.3">
      <c r="A213" t="s">
        <v>254</v>
      </c>
      <c r="B213" s="2">
        <v>45806</v>
      </c>
      <c r="C213" s="2" t="str">
        <f>TEXT(tblBelgaumOrders[[#This Row],[Order_Date]],"mmm")</f>
        <v>May</v>
      </c>
      <c r="D213" t="s">
        <v>8</v>
      </c>
      <c r="E213" t="s">
        <v>2</v>
      </c>
      <c r="F213" t="s">
        <v>37</v>
      </c>
      <c r="G213" t="s">
        <v>4</v>
      </c>
      <c r="H213" t="s">
        <v>63</v>
      </c>
      <c r="I213" t="s">
        <v>11</v>
      </c>
      <c r="J213">
        <v>9</v>
      </c>
      <c r="K213" s="3">
        <v>2107.89</v>
      </c>
      <c r="L213" s="3">
        <f>tblBelgaumOrders[[#This Row],[Quantity]]*tblBelgaumOrders[[#This Row],[Order_Amount]]</f>
        <v>18971.009999999998</v>
      </c>
    </row>
    <row r="214" spans="1:12" x14ac:dyDescent="0.3">
      <c r="A214" t="s">
        <v>255</v>
      </c>
      <c r="B214" s="2">
        <v>45726</v>
      </c>
      <c r="C214" s="2" t="str">
        <f>TEXT(tblBelgaumOrders[[#This Row],[Order_Date]],"mmm")</f>
        <v>Mar</v>
      </c>
      <c r="D214" t="s">
        <v>42</v>
      </c>
      <c r="E214" t="s">
        <v>2</v>
      </c>
      <c r="F214" t="s">
        <v>9</v>
      </c>
      <c r="G214" t="s">
        <v>4</v>
      </c>
      <c r="H214" t="s">
        <v>10</v>
      </c>
      <c r="I214" t="s">
        <v>11</v>
      </c>
      <c r="J214">
        <v>5</v>
      </c>
      <c r="K214" s="3">
        <v>1063.04</v>
      </c>
      <c r="L214" s="3">
        <f>tblBelgaumOrders[[#This Row],[Quantity]]*tblBelgaumOrders[[#This Row],[Order_Amount]]</f>
        <v>5315.2</v>
      </c>
    </row>
    <row r="215" spans="1:12" x14ac:dyDescent="0.3">
      <c r="A215" t="s">
        <v>256</v>
      </c>
      <c r="B215" s="2">
        <v>45665</v>
      </c>
      <c r="C215" s="2" t="str">
        <f>TEXT(tblBelgaumOrders[[#This Row],[Order_Date]],"mmm")</f>
        <v>Jan</v>
      </c>
      <c r="D215" t="s">
        <v>53</v>
      </c>
      <c r="E215" t="s">
        <v>14</v>
      </c>
      <c r="F215" t="s">
        <v>37</v>
      </c>
      <c r="G215" t="s">
        <v>15</v>
      </c>
      <c r="H215" t="s">
        <v>10</v>
      </c>
      <c r="I215" t="s">
        <v>18</v>
      </c>
      <c r="J215">
        <v>18</v>
      </c>
      <c r="K215" s="3">
        <v>4934.93</v>
      </c>
      <c r="L215" s="3">
        <f>tblBelgaumOrders[[#This Row],[Quantity]]*tblBelgaumOrders[[#This Row],[Order_Amount]]</f>
        <v>88828.74</v>
      </c>
    </row>
    <row r="216" spans="1:12" x14ac:dyDescent="0.3">
      <c r="A216" t="s">
        <v>257</v>
      </c>
      <c r="B216" s="2">
        <v>45921</v>
      </c>
      <c r="C216" s="2" t="str">
        <f>TEXT(tblBelgaumOrders[[#This Row],[Order_Date]],"mmm")</f>
        <v>Sep</v>
      </c>
      <c r="D216" t="s">
        <v>53</v>
      </c>
      <c r="E216" t="s">
        <v>2</v>
      </c>
      <c r="F216" t="s">
        <v>26</v>
      </c>
      <c r="G216" t="s">
        <v>4</v>
      </c>
      <c r="H216" t="s">
        <v>10</v>
      </c>
      <c r="I216" t="s">
        <v>11</v>
      </c>
      <c r="J216">
        <v>4</v>
      </c>
      <c r="K216" s="3">
        <v>1628.85</v>
      </c>
      <c r="L216" s="3">
        <f>tblBelgaumOrders[[#This Row],[Quantity]]*tblBelgaumOrders[[#This Row],[Order_Amount]]</f>
        <v>6515.4</v>
      </c>
    </row>
    <row r="217" spans="1:12" x14ac:dyDescent="0.3">
      <c r="A217" t="s">
        <v>258</v>
      </c>
      <c r="B217" s="2">
        <v>45854</v>
      </c>
      <c r="C217" s="2" t="str">
        <f>TEXT(tblBelgaumOrders[[#This Row],[Order_Date]],"mmm")</f>
        <v>Jul</v>
      </c>
      <c r="D217" t="s">
        <v>50</v>
      </c>
      <c r="E217" t="s">
        <v>2</v>
      </c>
      <c r="F217" t="s">
        <v>3</v>
      </c>
      <c r="G217" t="s">
        <v>4</v>
      </c>
      <c r="H217" t="s">
        <v>5</v>
      </c>
      <c r="I217" t="s">
        <v>6</v>
      </c>
      <c r="J217">
        <v>5</v>
      </c>
      <c r="K217" s="3">
        <v>1484.87</v>
      </c>
      <c r="L217" s="3">
        <f>tblBelgaumOrders[[#This Row],[Quantity]]*tblBelgaumOrders[[#This Row],[Order_Amount]]</f>
        <v>7424.3499999999995</v>
      </c>
    </row>
    <row r="218" spans="1:12" x14ac:dyDescent="0.3">
      <c r="A218" t="s">
        <v>259</v>
      </c>
      <c r="B218" s="2">
        <v>45778</v>
      </c>
      <c r="C218" s="2" t="str">
        <f>TEXT(tblBelgaumOrders[[#This Row],[Order_Date]],"mmm")</f>
        <v>May</v>
      </c>
      <c r="D218" t="s">
        <v>8</v>
      </c>
      <c r="E218" t="s">
        <v>14</v>
      </c>
      <c r="F218" t="s">
        <v>77</v>
      </c>
      <c r="G218" t="s">
        <v>4</v>
      </c>
      <c r="H218" t="s">
        <v>5</v>
      </c>
      <c r="I218" t="s">
        <v>46</v>
      </c>
      <c r="J218">
        <v>15</v>
      </c>
      <c r="K218" s="3">
        <v>16589.48</v>
      </c>
      <c r="L218" s="3">
        <f>tblBelgaumOrders[[#This Row],[Quantity]]*tblBelgaumOrders[[#This Row],[Order_Amount]]</f>
        <v>248842.19999999998</v>
      </c>
    </row>
    <row r="219" spans="1:12" x14ac:dyDescent="0.3">
      <c r="A219" t="s">
        <v>260</v>
      </c>
      <c r="B219" s="2">
        <v>45985</v>
      </c>
      <c r="C219" s="2" t="str">
        <f>TEXT(tblBelgaumOrders[[#This Row],[Order_Date]],"mmm")</f>
        <v>Nov</v>
      </c>
      <c r="D219" t="s">
        <v>23</v>
      </c>
      <c r="E219" t="s">
        <v>2</v>
      </c>
      <c r="F219" t="s">
        <v>3</v>
      </c>
      <c r="G219" t="s">
        <v>30</v>
      </c>
      <c r="H219" t="s">
        <v>10</v>
      </c>
      <c r="I219" t="s">
        <v>11</v>
      </c>
      <c r="J219">
        <v>10</v>
      </c>
      <c r="K219" s="3">
        <v>2532.85</v>
      </c>
      <c r="L219" s="3">
        <f>tblBelgaumOrders[[#This Row],[Quantity]]*tblBelgaumOrders[[#This Row],[Order_Amount]]</f>
        <v>25328.5</v>
      </c>
    </row>
    <row r="220" spans="1:12" x14ac:dyDescent="0.3">
      <c r="A220" t="s">
        <v>261</v>
      </c>
      <c r="B220" s="2">
        <v>45939</v>
      </c>
      <c r="C220" s="2" t="str">
        <f>TEXT(tblBelgaumOrders[[#This Row],[Order_Date]],"mmm")</f>
        <v>Oct</v>
      </c>
      <c r="D220" t="s">
        <v>55</v>
      </c>
      <c r="E220" t="s">
        <v>14</v>
      </c>
      <c r="F220" t="s">
        <v>21</v>
      </c>
      <c r="G220" t="s">
        <v>17</v>
      </c>
      <c r="H220" t="s">
        <v>5</v>
      </c>
      <c r="I220" t="s">
        <v>6</v>
      </c>
      <c r="J220">
        <v>25</v>
      </c>
      <c r="K220" s="3">
        <v>0</v>
      </c>
      <c r="L220" s="3">
        <f>tblBelgaumOrders[[#This Row],[Quantity]]*tblBelgaumOrders[[#This Row],[Order_Amount]]</f>
        <v>0</v>
      </c>
    </row>
    <row r="221" spans="1:12" x14ac:dyDescent="0.3">
      <c r="A221" t="s">
        <v>262</v>
      </c>
      <c r="B221" s="2">
        <v>45699</v>
      </c>
      <c r="C221" s="2" t="str">
        <f>TEXT(tblBelgaumOrders[[#This Row],[Order_Date]],"mmm")</f>
        <v>Feb</v>
      </c>
      <c r="D221" t="s">
        <v>42</v>
      </c>
      <c r="E221" t="s">
        <v>2</v>
      </c>
      <c r="F221" t="s">
        <v>40</v>
      </c>
      <c r="G221" t="s">
        <v>4</v>
      </c>
      <c r="H221" t="s">
        <v>10</v>
      </c>
      <c r="I221" t="s">
        <v>11</v>
      </c>
      <c r="J221">
        <v>9</v>
      </c>
      <c r="K221" s="3">
        <v>1860.1</v>
      </c>
      <c r="L221" s="3">
        <f>tblBelgaumOrders[[#This Row],[Quantity]]*tblBelgaumOrders[[#This Row],[Order_Amount]]</f>
        <v>16740.899999999998</v>
      </c>
    </row>
    <row r="222" spans="1:12" x14ac:dyDescent="0.3">
      <c r="A222" t="s">
        <v>263</v>
      </c>
      <c r="B222" s="2">
        <v>45761</v>
      </c>
      <c r="C222" s="2" t="str">
        <f>TEXT(tblBelgaumOrders[[#This Row],[Order_Date]],"mmm")</f>
        <v>Apr</v>
      </c>
      <c r="D222" t="s">
        <v>39</v>
      </c>
      <c r="E222" t="s">
        <v>2</v>
      </c>
      <c r="F222" t="s">
        <v>51</v>
      </c>
      <c r="G222" t="s">
        <v>4</v>
      </c>
      <c r="H222" t="s">
        <v>10</v>
      </c>
      <c r="I222" t="s">
        <v>11</v>
      </c>
      <c r="J222">
        <v>10</v>
      </c>
      <c r="K222" s="3">
        <v>18779.34</v>
      </c>
      <c r="L222" s="3">
        <f>tblBelgaumOrders[[#This Row],[Quantity]]*tblBelgaumOrders[[#This Row],[Order_Amount]]</f>
        <v>187793.4</v>
      </c>
    </row>
    <row r="223" spans="1:12" x14ac:dyDescent="0.3">
      <c r="A223" t="s">
        <v>264</v>
      </c>
      <c r="B223" s="2">
        <v>45886</v>
      </c>
      <c r="C223" s="2" t="str">
        <f>TEXT(tblBelgaumOrders[[#This Row],[Order_Date]],"mmm")</f>
        <v>Aug</v>
      </c>
      <c r="D223" t="s">
        <v>8</v>
      </c>
      <c r="E223" t="s">
        <v>2</v>
      </c>
      <c r="F223" t="s">
        <v>37</v>
      </c>
      <c r="G223" t="s">
        <v>4</v>
      </c>
      <c r="H223" t="s">
        <v>10</v>
      </c>
      <c r="I223" t="s">
        <v>6</v>
      </c>
      <c r="J223">
        <v>5</v>
      </c>
      <c r="K223" s="3">
        <v>1302.3599999999999</v>
      </c>
      <c r="L223" s="3">
        <f>tblBelgaumOrders[[#This Row],[Quantity]]*tblBelgaumOrders[[#This Row],[Order_Amount]]</f>
        <v>6511.7999999999993</v>
      </c>
    </row>
    <row r="224" spans="1:12" x14ac:dyDescent="0.3">
      <c r="A224" t="s">
        <v>265</v>
      </c>
      <c r="B224" s="2">
        <v>45860</v>
      </c>
      <c r="C224" s="2" t="str">
        <f>TEXT(tblBelgaumOrders[[#This Row],[Order_Date]],"mmm")</f>
        <v>Jul</v>
      </c>
      <c r="D224" t="s">
        <v>13</v>
      </c>
      <c r="E224" t="s">
        <v>14</v>
      </c>
      <c r="F224" t="s">
        <v>40</v>
      </c>
      <c r="G224" t="s">
        <v>4</v>
      </c>
      <c r="H224" t="s">
        <v>10</v>
      </c>
      <c r="I224" t="s">
        <v>11</v>
      </c>
      <c r="J224">
        <v>8</v>
      </c>
      <c r="K224" s="3">
        <v>1375.61</v>
      </c>
      <c r="L224" s="3">
        <f>tblBelgaumOrders[[#This Row],[Quantity]]*tblBelgaumOrders[[#This Row],[Order_Amount]]</f>
        <v>11004.88</v>
      </c>
    </row>
    <row r="225" spans="1:12" x14ac:dyDescent="0.3">
      <c r="A225" t="s">
        <v>266</v>
      </c>
      <c r="B225" s="2">
        <v>45688</v>
      </c>
      <c r="C225" s="2" t="str">
        <f>TEXT(tblBelgaumOrders[[#This Row],[Order_Date]],"mmm")</f>
        <v>Jan</v>
      </c>
      <c r="D225" t="s">
        <v>20</v>
      </c>
      <c r="E225" t="s">
        <v>24</v>
      </c>
      <c r="F225" t="s">
        <v>77</v>
      </c>
      <c r="G225" t="s">
        <v>4</v>
      </c>
      <c r="H225" t="s">
        <v>10</v>
      </c>
      <c r="I225" t="s">
        <v>11</v>
      </c>
      <c r="J225">
        <v>16</v>
      </c>
      <c r="K225" s="3">
        <v>17536.62</v>
      </c>
      <c r="L225" s="3">
        <f>tblBelgaumOrders[[#This Row],[Quantity]]*tblBelgaumOrders[[#This Row],[Order_Amount]]</f>
        <v>280585.92</v>
      </c>
    </row>
    <row r="226" spans="1:12" x14ac:dyDescent="0.3">
      <c r="A226" t="s">
        <v>267</v>
      </c>
      <c r="B226" s="2">
        <v>45887</v>
      </c>
      <c r="C226" s="2" t="str">
        <f>TEXT(tblBelgaumOrders[[#This Row],[Order_Date]],"mmm")</f>
        <v>Aug</v>
      </c>
      <c r="D226" t="s">
        <v>29</v>
      </c>
      <c r="E226" t="s">
        <v>2</v>
      </c>
      <c r="F226" t="s">
        <v>26</v>
      </c>
      <c r="G226" t="s">
        <v>4</v>
      </c>
      <c r="H226" t="s">
        <v>10</v>
      </c>
      <c r="I226" t="s">
        <v>6</v>
      </c>
      <c r="J226">
        <v>6</v>
      </c>
      <c r="K226" s="3">
        <v>2660.62</v>
      </c>
      <c r="L226" s="3">
        <f>tblBelgaumOrders[[#This Row],[Quantity]]*tblBelgaumOrders[[#This Row],[Order_Amount]]</f>
        <v>15963.72</v>
      </c>
    </row>
    <row r="227" spans="1:12" x14ac:dyDescent="0.3">
      <c r="A227" t="s">
        <v>268</v>
      </c>
      <c r="B227" s="2">
        <v>45933</v>
      </c>
      <c r="C227" s="2" t="str">
        <f>TEXT(tblBelgaumOrders[[#This Row],[Order_Date]],"mmm")</f>
        <v>Oct</v>
      </c>
      <c r="D227" t="s">
        <v>29</v>
      </c>
      <c r="E227" t="s">
        <v>2</v>
      </c>
      <c r="F227" t="s">
        <v>40</v>
      </c>
      <c r="G227" t="s">
        <v>4</v>
      </c>
      <c r="H227" t="s">
        <v>10</v>
      </c>
      <c r="I227" t="s">
        <v>11</v>
      </c>
      <c r="J227">
        <v>5</v>
      </c>
      <c r="K227" s="3">
        <v>822.24</v>
      </c>
      <c r="L227" s="3">
        <f>tblBelgaumOrders[[#This Row],[Quantity]]*tblBelgaumOrders[[#This Row],[Order_Amount]]</f>
        <v>4111.2</v>
      </c>
    </row>
    <row r="228" spans="1:12" x14ac:dyDescent="0.3">
      <c r="A228" t="s">
        <v>269</v>
      </c>
      <c r="B228" s="2">
        <v>45936</v>
      </c>
      <c r="C228" s="2" t="str">
        <f>TEXT(tblBelgaumOrders[[#This Row],[Order_Date]],"mmm")</f>
        <v>Oct</v>
      </c>
      <c r="D228" t="s">
        <v>79</v>
      </c>
      <c r="E228" t="s">
        <v>2</v>
      </c>
      <c r="F228" t="s">
        <v>21</v>
      </c>
      <c r="G228" t="s">
        <v>4</v>
      </c>
      <c r="H228" t="s">
        <v>10</v>
      </c>
      <c r="I228" t="s">
        <v>11</v>
      </c>
      <c r="J228">
        <v>2</v>
      </c>
      <c r="K228" s="3">
        <v>184.64</v>
      </c>
      <c r="L228" s="3">
        <f>tblBelgaumOrders[[#This Row],[Quantity]]*tblBelgaumOrders[[#This Row],[Order_Amount]]</f>
        <v>369.28</v>
      </c>
    </row>
    <row r="229" spans="1:12" x14ac:dyDescent="0.3">
      <c r="A229" t="s">
        <v>270</v>
      </c>
      <c r="B229" s="2">
        <v>45996</v>
      </c>
      <c r="C229" s="2" t="str">
        <f>TEXT(tblBelgaumOrders[[#This Row],[Order_Date]],"mmm")</f>
        <v>Dec</v>
      </c>
      <c r="D229" t="s">
        <v>79</v>
      </c>
      <c r="E229" t="s">
        <v>2</v>
      </c>
      <c r="F229" t="s">
        <v>73</v>
      </c>
      <c r="G229" t="s">
        <v>17</v>
      </c>
      <c r="H229" t="s">
        <v>10</v>
      </c>
      <c r="I229" t="s">
        <v>11</v>
      </c>
      <c r="J229">
        <v>10</v>
      </c>
      <c r="K229" s="3">
        <v>0</v>
      </c>
      <c r="L229" s="3">
        <f>tblBelgaumOrders[[#This Row],[Quantity]]*tblBelgaumOrders[[#This Row],[Order_Amount]]</f>
        <v>0</v>
      </c>
    </row>
    <row r="230" spans="1:12" x14ac:dyDescent="0.3">
      <c r="A230" t="s">
        <v>271</v>
      </c>
      <c r="B230" s="2">
        <v>45964</v>
      </c>
      <c r="C230" s="2" t="str">
        <f>TEXT(tblBelgaumOrders[[#This Row],[Order_Date]],"mmm")</f>
        <v>Nov</v>
      </c>
      <c r="D230" t="s">
        <v>8</v>
      </c>
      <c r="E230" t="s">
        <v>2</v>
      </c>
      <c r="F230" t="s">
        <v>9</v>
      </c>
      <c r="G230" t="s">
        <v>4</v>
      </c>
      <c r="H230" t="s">
        <v>10</v>
      </c>
      <c r="I230" t="s">
        <v>18</v>
      </c>
      <c r="J230">
        <v>1</v>
      </c>
      <c r="K230" s="3">
        <v>150.13</v>
      </c>
      <c r="L230" s="3">
        <f>tblBelgaumOrders[[#This Row],[Quantity]]*tblBelgaumOrders[[#This Row],[Order_Amount]]</f>
        <v>150.13</v>
      </c>
    </row>
    <row r="231" spans="1:12" x14ac:dyDescent="0.3">
      <c r="A231" t="s">
        <v>272</v>
      </c>
      <c r="B231" s="2">
        <v>45806</v>
      </c>
      <c r="C231" s="2" t="str">
        <f>TEXT(tblBelgaumOrders[[#This Row],[Order_Date]],"mmm")</f>
        <v>May</v>
      </c>
      <c r="D231" t="s">
        <v>50</v>
      </c>
      <c r="E231" t="s">
        <v>14</v>
      </c>
      <c r="F231" t="s">
        <v>40</v>
      </c>
      <c r="G231" t="s">
        <v>4</v>
      </c>
      <c r="H231" t="s">
        <v>5</v>
      </c>
      <c r="I231" t="s">
        <v>6</v>
      </c>
      <c r="J231">
        <v>16</v>
      </c>
      <c r="K231" s="3">
        <v>2283.88</v>
      </c>
      <c r="L231" s="3">
        <f>tblBelgaumOrders[[#This Row],[Quantity]]*tblBelgaumOrders[[#This Row],[Order_Amount]]</f>
        <v>36542.080000000002</v>
      </c>
    </row>
    <row r="232" spans="1:12" x14ac:dyDescent="0.3">
      <c r="A232" t="s">
        <v>273</v>
      </c>
      <c r="B232" s="2">
        <v>45731</v>
      </c>
      <c r="C232" s="2" t="str">
        <f>TEXT(tblBelgaumOrders[[#This Row],[Order_Date]],"mmm")</f>
        <v>Mar</v>
      </c>
      <c r="D232" t="s">
        <v>42</v>
      </c>
      <c r="E232" t="s">
        <v>2</v>
      </c>
      <c r="F232" t="s">
        <v>3</v>
      </c>
      <c r="G232" t="s">
        <v>4</v>
      </c>
      <c r="H232" t="s">
        <v>63</v>
      </c>
      <c r="I232" t="s">
        <v>18</v>
      </c>
      <c r="J232">
        <v>3</v>
      </c>
      <c r="K232" s="3">
        <v>877.96</v>
      </c>
      <c r="L232" s="3">
        <f>tblBelgaumOrders[[#This Row],[Quantity]]*tblBelgaumOrders[[#This Row],[Order_Amount]]</f>
        <v>2633.88</v>
      </c>
    </row>
    <row r="233" spans="1:12" x14ac:dyDescent="0.3">
      <c r="A233" t="s">
        <v>274</v>
      </c>
      <c r="B233" s="2">
        <v>45876</v>
      </c>
      <c r="C233" s="2" t="str">
        <f>TEXT(tblBelgaumOrders[[#This Row],[Order_Date]],"mmm")</f>
        <v>Aug</v>
      </c>
      <c r="D233" t="s">
        <v>39</v>
      </c>
      <c r="E233" t="s">
        <v>2</v>
      </c>
      <c r="F233" t="s">
        <v>35</v>
      </c>
      <c r="G233" t="s">
        <v>30</v>
      </c>
      <c r="H233" t="s">
        <v>5</v>
      </c>
      <c r="I233" t="s">
        <v>18</v>
      </c>
      <c r="J233">
        <v>6</v>
      </c>
      <c r="K233" s="3">
        <v>22421.47</v>
      </c>
      <c r="L233" s="3">
        <f>tblBelgaumOrders[[#This Row],[Quantity]]*tblBelgaumOrders[[#This Row],[Order_Amount]]</f>
        <v>134528.82</v>
      </c>
    </row>
    <row r="234" spans="1:12" x14ac:dyDescent="0.3">
      <c r="A234" t="s">
        <v>275</v>
      </c>
      <c r="B234" s="2">
        <v>45811</v>
      </c>
      <c r="C234" s="2" t="str">
        <f>TEXT(tblBelgaumOrders[[#This Row],[Order_Date]],"mmm")</f>
        <v>Jun</v>
      </c>
      <c r="D234" t="s">
        <v>29</v>
      </c>
      <c r="E234" t="s">
        <v>2</v>
      </c>
      <c r="F234" t="s">
        <v>37</v>
      </c>
      <c r="G234" t="s">
        <v>4</v>
      </c>
      <c r="H234" t="s">
        <v>10</v>
      </c>
      <c r="I234" t="s">
        <v>18</v>
      </c>
      <c r="J234">
        <v>3</v>
      </c>
      <c r="K234" s="3">
        <v>814.09</v>
      </c>
      <c r="L234" s="3">
        <f>tblBelgaumOrders[[#This Row],[Quantity]]*tblBelgaumOrders[[#This Row],[Order_Amount]]</f>
        <v>2442.27</v>
      </c>
    </row>
    <row r="235" spans="1:12" x14ac:dyDescent="0.3">
      <c r="A235" t="s">
        <v>276</v>
      </c>
      <c r="B235" s="2">
        <v>45687</v>
      </c>
      <c r="C235" s="2" t="str">
        <f>TEXT(tblBelgaumOrders[[#This Row],[Order_Date]],"mmm")</f>
        <v>Jan</v>
      </c>
      <c r="D235" t="s">
        <v>39</v>
      </c>
      <c r="E235" t="s">
        <v>2</v>
      </c>
      <c r="F235" t="s">
        <v>77</v>
      </c>
      <c r="G235" t="s">
        <v>4</v>
      </c>
      <c r="H235" t="s">
        <v>10</v>
      </c>
      <c r="I235" t="s">
        <v>11</v>
      </c>
      <c r="J235">
        <v>6</v>
      </c>
      <c r="K235" s="3">
        <v>6486.73</v>
      </c>
      <c r="L235" s="3">
        <f>tblBelgaumOrders[[#This Row],[Quantity]]*tblBelgaumOrders[[#This Row],[Order_Amount]]</f>
        <v>38920.379999999997</v>
      </c>
    </row>
    <row r="236" spans="1:12" x14ac:dyDescent="0.3">
      <c r="A236" t="s">
        <v>277</v>
      </c>
      <c r="B236" s="2">
        <v>45888</v>
      </c>
      <c r="C236" s="2" t="str">
        <f>TEXT(tblBelgaumOrders[[#This Row],[Order_Date]],"mmm")</f>
        <v>Aug</v>
      </c>
      <c r="D236" t="s">
        <v>34</v>
      </c>
      <c r="E236" t="s">
        <v>2</v>
      </c>
      <c r="F236" t="s">
        <v>40</v>
      </c>
      <c r="G236" t="s">
        <v>4</v>
      </c>
      <c r="H236" t="s">
        <v>10</v>
      </c>
      <c r="I236" t="s">
        <v>6</v>
      </c>
      <c r="J236">
        <v>10</v>
      </c>
      <c r="K236" s="3">
        <v>1237.97</v>
      </c>
      <c r="L236" s="3">
        <f>tblBelgaumOrders[[#This Row],[Quantity]]*tblBelgaumOrders[[#This Row],[Order_Amount]]</f>
        <v>12379.7</v>
      </c>
    </row>
    <row r="237" spans="1:12" x14ac:dyDescent="0.3">
      <c r="A237" t="s">
        <v>278</v>
      </c>
      <c r="B237" s="2">
        <v>45695</v>
      </c>
      <c r="C237" s="2" t="str">
        <f>TEXT(tblBelgaumOrders[[#This Row],[Order_Date]],"mmm")</f>
        <v>Feb</v>
      </c>
      <c r="D237" t="s">
        <v>48</v>
      </c>
      <c r="E237" t="s">
        <v>14</v>
      </c>
      <c r="F237" t="s">
        <v>37</v>
      </c>
      <c r="G237" t="s">
        <v>4</v>
      </c>
      <c r="H237" t="s">
        <v>10</v>
      </c>
      <c r="I237" t="s">
        <v>11</v>
      </c>
      <c r="J237">
        <v>16</v>
      </c>
      <c r="K237" s="3">
        <v>3280.33</v>
      </c>
      <c r="L237" s="3">
        <f>tblBelgaumOrders[[#This Row],[Quantity]]*tblBelgaumOrders[[#This Row],[Order_Amount]]</f>
        <v>52485.279999999999</v>
      </c>
    </row>
    <row r="238" spans="1:12" x14ac:dyDescent="0.3">
      <c r="A238" t="s">
        <v>279</v>
      </c>
      <c r="B238" s="2">
        <v>45665</v>
      </c>
      <c r="C238" s="2" t="str">
        <f>TEXT(tblBelgaumOrders[[#This Row],[Order_Date]],"mmm")</f>
        <v>Jan</v>
      </c>
      <c r="D238" t="s">
        <v>48</v>
      </c>
      <c r="E238" t="s">
        <v>24</v>
      </c>
      <c r="F238" t="s">
        <v>35</v>
      </c>
      <c r="G238" t="s">
        <v>4</v>
      </c>
      <c r="H238" t="s">
        <v>63</v>
      </c>
      <c r="I238" t="s">
        <v>6</v>
      </c>
      <c r="J238">
        <v>10</v>
      </c>
      <c r="K238" s="3">
        <v>43167.33</v>
      </c>
      <c r="L238" s="3">
        <f>tblBelgaumOrders[[#This Row],[Quantity]]*tblBelgaumOrders[[#This Row],[Order_Amount]]</f>
        <v>431673.30000000005</v>
      </c>
    </row>
    <row r="239" spans="1:12" x14ac:dyDescent="0.3">
      <c r="A239" t="s">
        <v>280</v>
      </c>
      <c r="B239" s="2">
        <v>45780</v>
      </c>
      <c r="C239" s="2" t="str">
        <f>TEXT(tblBelgaumOrders[[#This Row],[Order_Date]],"mmm")</f>
        <v>May</v>
      </c>
      <c r="D239" t="s">
        <v>39</v>
      </c>
      <c r="E239" t="s">
        <v>2</v>
      </c>
      <c r="F239" t="s">
        <v>3</v>
      </c>
      <c r="G239" t="s">
        <v>4</v>
      </c>
      <c r="H239" t="s">
        <v>5</v>
      </c>
      <c r="I239" t="s">
        <v>11</v>
      </c>
      <c r="J239">
        <v>6</v>
      </c>
      <c r="K239" s="3">
        <v>1650</v>
      </c>
      <c r="L239" s="3">
        <f>tblBelgaumOrders[[#This Row],[Quantity]]*tblBelgaumOrders[[#This Row],[Order_Amount]]</f>
        <v>9900</v>
      </c>
    </row>
    <row r="240" spans="1:12" x14ac:dyDescent="0.3">
      <c r="A240" t="s">
        <v>281</v>
      </c>
      <c r="B240" s="2">
        <v>45912</v>
      </c>
      <c r="C240" s="2" t="str">
        <f>TEXT(tblBelgaumOrders[[#This Row],[Order_Date]],"mmm")</f>
        <v>Sep</v>
      </c>
      <c r="D240" t="s">
        <v>32</v>
      </c>
      <c r="E240" t="s">
        <v>2</v>
      </c>
      <c r="F240" t="s">
        <v>35</v>
      </c>
      <c r="G240" t="s">
        <v>4</v>
      </c>
      <c r="H240" t="s">
        <v>5</v>
      </c>
      <c r="I240" t="s">
        <v>46</v>
      </c>
      <c r="J240">
        <v>2</v>
      </c>
      <c r="K240" s="3">
        <v>6001.62</v>
      </c>
      <c r="L240" s="3">
        <f>tblBelgaumOrders[[#This Row],[Quantity]]*tblBelgaumOrders[[#This Row],[Order_Amount]]</f>
        <v>12003.24</v>
      </c>
    </row>
    <row r="241" spans="1:12" x14ac:dyDescent="0.3">
      <c r="A241" t="s">
        <v>282</v>
      </c>
      <c r="B241" s="2">
        <v>45732</v>
      </c>
      <c r="C241" s="2" t="str">
        <f>TEXT(tblBelgaumOrders[[#This Row],[Order_Date]],"mmm")</f>
        <v>Mar</v>
      </c>
      <c r="D241" t="s">
        <v>67</v>
      </c>
      <c r="E241" t="s">
        <v>2</v>
      </c>
      <c r="F241" t="s">
        <v>73</v>
      </c>
      <c r="G241" t="s">
        <v>4</v>
      </c>
      <c r="H241" t="s">
        <v>10</v>
      </c>
      <c r="I241" t="s">
        <v>11</v>
      </c>
      <c r="J241">
        <v>6</v>
      </c>
      <c r="K241" s="3">
        <v>2237.79</v>
      </c>
      <c r="L241" s="3">
        <f>tblBelgaumOrders[[#This Row],[Quantity]]*tblBelgaumOrders[[#This Row],[Order_Amount]]</f>
        <v>13426.74</v>
      </c>
    </row>
    <row r="242" spans="1:12" x14ac:dyDescent="0.3">
      <c r="A242" t="s">
        <v>283</v>
      </c>
      <c r="B242" s="2">
        <v>45949</v>
      </c>
      <c r="C242" s="2" t="str">
        <f>TEXT(tblBelgaumOrders[[#This Row],[Order_Date]],"mmm")</f>
        <v>Oct</v>
      </c>
      <c r="D242" t="s">
        <v>50</v>
      </c>
      <c r="E242" t="s">
        <v>2</v>
      </c>
      <c r="F242" t="s">
        <v>26</v>
      </c>
      <c r="G242" t="s">
        <v>4</v>
      </c>
      <c r="H242" t="s">
        <v>10</v>
      </c>
      <c r="I242" t="s">
        <v>18</v>
      </c>
      <c r="J242">
        <v>8</v>
      </c>
      <c r="K242" s="3">
        <v>4434.47</v>
      </c>
      <c r="L242" s="3">
        <f>tblBelgaumOrders[[#This Row],[Quantity]]*tblBelgaumOrders[[#This Row],[Order_Amount]]</f>
        <v>35475.760000000002</v>
      </c>
    </row>
    <row r="243" spans="1:12" x14ac:dyDescent="0.3">
      <c r="A243" t="s">
        <v>284</v>
      </c>
      <c r="B243" s="2">
        <v>45838</v>
      </c>
      <c r="C243" s="2" t="str">
        <f>TEXT(tblBelgaumOrders[[#This Row],[Order_Date]],"mmm")</f>
        <v>Jun</v>
      </c>
      <c r="D243" t="s">
        <v>58</v>
      </c>
      <c r="E243" t="s">
        <v>2</v>
      </c>
      <c r="F243" t="s">
        <v>37</v>
      </c>
      <c r="G243" t="s">
        <v>4</v>
      </c>
      <c r="H243" t="s">
        <v>5</v>
      </c>
      <c r="I243" t="s">
        <v>82</v>
      </c>
      <c r="J243">
        <v>1</v>
      </c>
      <c r="K243" s="3">
        <v>234.16</v>
      </c>
      <c r="L243" s="3">
        <f>tblBelgaumOrders[[#This Row],[Quantity]]*tblBelgaumOrders[[#This Row],[Order_Amount]]</f>
        <v>234.16</v>
      </c>
    </row>
    <row r="244" spans="1:12" x14ac:dyDescent="0.3">
      <c r="A244" t="s">
        <v>285</v>
      </c>
      <c r="B244" s="2">
        <v>45696</v>
      </c>
      <c r="C244" s="2" t="str">
        <f>TEXT(tblBelgaumOrders[[#This Row],[Order_Date]],"mmm")</f>
        <v>Feb</v>
      </c>
      <c r="D244" t="s">
        <v>8</v>
      </c>
      <c r="E244" t="s">
        <v>14</v>
      </c>
      <c r="F244" t="s">
        <v>77</v>
      </c>
      <c r="G244" t="s">
        <v>17</v>
      </c>
      <c r="H244" t="s">
        <v>10</v>
      </c>
      <c r="I244" t="s">
        <v>6</v>
      </c>
      <c r="J244">
        <v>6</v>
      </c>
      <c r="K244" s="3">
        <v>0</v>
      </c>
      <c r="L244" s="3">
        <f>tblBelgaumOrders[[#This Row],[Quantity]]*tblBelgaumOrders[[#This Row],[Order_Amount]]</f>
        <v>0</v>
      </c>
    </row>
    <row r="245" spans="1:12" x14ac:dyDescent="0.3">
      <c r="A245" t="s">
        <v>286</v>
      </c>
      <c r="B245" s="2">
        <v>45891</v>
      </c>
      <c r="C245" s="2" t="str">
        <f>TEXT(tblBelgaumOrders[[#This Row],[Order_Date]],"mmm")</f>
        <v>Aug</v>
      </c>
      <c r="D245" t="s">
        <v>34</v>
      </c>
      <c r="E245" t="s">
        <v>2</v>
      </c>
      <c r="F245" t="s">
        <v>26</v>
      </c>
      <c r="G245" t="s">
        <v>30</v>
      </c>
      <c r="H245" t="s">
        <v>63</v>
      </c>
      <c r="I245" t="s">
        <v>6</v>
      </c>
      <c r="J245">
        <v>1</v>
      </c>
      <c r="K245" s="3">
        <v>407.14</v>
      </c>
      <c r="L245" s="3">
        <f>tblBelgaumOrders[[#This Row],[Quantity]]*tblBelgaumOrders[[#This Row],[Order_Amount]]</f>
        <v>407.14</v>
      </c>
    </row>
    <row r="246" spans="1:12" x14ac:dyDescent="0.3">
      <c r="A246" t="s">
        <v>287</v>
      </c>
      <c r="B246" s="2">
        <v>45940</v>
      </c>
      <c r="C246" s="2" t="str">
        <f>TEXT(tblBelgaumOrders[[#This Row],[Order_Date]],"mmm")</f>
        <v>Oct</v>
      </c>
      <c r="D246" t="s">
        <v>79</v>
      </c>
      <c r="E246" t="s">
        <v>2</v>
      </c>
      <c r="F246" t="s">
        <v>37</v>
      </c>
      <c r="G246" t="s">
        <v>4</v>
      </c>
      <c r="H246" t="s">
        <v>63</v>
      </c>
      <c r="I246" t="s">
        <v>11</v>
      </c>
      <c r="J246">
        <v>7</v>
      </c>
      <c r="K246" s="3">
        <v>1899.9</v>
      </c>
      <c r="L246" s="3">
        <f>tblBelgaumOrders[[#This Row],[Quantity]]*tblBelgaumOrders[[#This Row],[Order_Amount]]</f>
        <v>13299.300000000001</v>
      </c>
    </row>
    <row r="247" spans="1:12" x14ac:dyDescent="0.3">
      <c r="A247" t="s">
        <v>288</v>
      </c>
      <c r="B247" s="2">
        <v>45749</v>
      </c>
      <c r="C247" s="2" t="str">
        <f>TEXT(tblBelgaumOrders[[#This Row],[Order_Date]],"mmm")</f>
        <v>Apr</v>
      </c>
      <c r="D247" t="s">
        <v>1</v>
      </c>
      <c r="E247" t="s">
        <v>24</v>
      </c>
      <c r="F247" t="s">
        <v>37</v>
      </c>
      <c r="G247" t="s">
        <v>4</v>
      </c>
      <c r="H247" t="s">
        <v>5</v>
      </c>
      <c r="I247" t="s">
        <v>11</v>
      </c>
      <c r="J247">
        <v>14</v>
      </c>
      <c r="K247" s="3">
        <v>3111.15</v>
      </c>
      <c r="L247" s="3">
        <f>tblBelgaumOrders[[#This Row],[Quantity]]*tblBelgaumOrders[[#This Row],[Order_Amount]]</f>
        <v>43556.1</v>
      </c>
    </row>
    <row r="248" spans="1:12" x14ac:dyDescent="0.3">
      <c r="A248" t="s">
        <v>289</v>
      </c>
      <c r="B248" s="2">
        <v>45849</v>
      </c>
      <c r="C248" s="2" t="str">
        <f>TEXT(tblBelgaumOrders[[#This Row],[Order_Date]],"mmm")</f>
        <v>Jul</v>
      </c>
      <c r="D248" t="s">
        <v>29</v>
      </c>
      <c r="E248" t="s">
        <v>2</v>
      </c>
      <c r="F248" t="s">
        <v>3</v>
      </c>
      <c r="G248" t="s">
        <v>4</v>
      </c>
      <c r="H248" t="s">
        <v>10</v>
      </c>
      <c r="I248" t="s">
        <v>18</v>
      </c>
      <c r="J248">
        <v>2</v>
      </c>
      <c r="K248" s="3">
        <v>593.97</v>
      </c>
      <c r="L248" s="3">
        <f>tblBelgaumOrders[[#This Row],[Quantity]]*tblBelgaumOrders[[#This Row],[Order_Amount]]</f>
        <v>1187.94</v>
      </c>
    </row>
    <row r="249" spans="1:12" x14ac:dyDescent="0.3">
      <c r="A249" t="s">
        <v>290</v>
      </c>
      <c r="B249" s="2">
        <v>45990</v>
      </c>
      <c r="C249" s="2" t="str">
        <f>TEXT(tblBelgaumOrders[[#This Row],[Order_Date]],"mmm")</f>
        <v>Nov</v>
      </c>
      <c r="D249" t="s">
        <v>8</v>
      </c>
      <c r="E249" t="s">
        <v>2</v>
      </c>
      <c r="F249" t="s">
        <v>51</v>
      </c>
      <c r="G249" t="s">
        <v>4</v>
      </c>
      <c r="H249" t="s">
        <v>10</v>
      </c>
      <c r="I249" t="s">
        <v>11</v>
      </c>
      <c r="J249">
        <v>3</v>
      </c>
      <c r="K249" s="3">
        <v>4317.8999999999996</v>
      </c>
      <c r="L249" s="3">
        <f>tblBelgaumOrders[[#This Row],[Quantity]]*tblBelgaumOrders[[#This Row],[Order_Amount]]</f>
        <v>12953.699999999999</v>
      </c>
    </row>
    <row r="250" spans="1:12" x14ac:dyDescent="0.3">
      <c r="A250" t="s">
        <v>291</v>
      </c>
      <c r="B250" s="2">
        <v>45988</v>
      </c>
      <c r="C250" s="2" t="str">
        <f>TEXT(tblBelgaumOrders[[#This Row],[Order_Date]],"mmm")</f>
        <v>Nov</v>
      </c>
      <c r="D250" t="s">
        <v>53</v>
      </c>
      <c r="E250" t="s">
        <v>2</v>
      </c>
      <c r="F250" t="s">
        <v>21</v>
      </c>
      <c r="G250" t="s">
        <v>4</v>
      </c>
      <c r="H250" t="s">
        <v>10</v>
      </c>
      <c r="I250" t="s">
        <v>11</v>
      </c>
      <c r="J250">
        <v>4</v>
      </c>
      <c r="K250" s="3">
        <v>619.57000000000005</v>
      </c>
      <c r="L250" s="3">
        <f>tblBelgaumOrders[[#This Row],[Quantity]]*tblBelgaumOrders[[#This Row],[Order_Amount]]</f>
        <v>2478.2800000000002</v>
      </c>
    </row>
    <row r="251" spans="1:12" x14ac:dyDescent="0.3">
      <c r="A251" t="s">
        <v>292</v>
      </c>
      <c r="B251" s="2">
        <v>45948</v>
      </c>
      <c r="C251" s="2" t="str">
        <f>TEXT(tblBelgaumOrders[[#This Row],[Order_Date]],"mmm")</f>
        <v>Oct</v>
      </c>
      <c r="D251" t="s">
        <v>55</v>
      </c>
      <c r="E251" t="s">
        <v>2</v>
      </c>
      <c r="F251" t="s">
        <v>73</v>
      </c>
      <c r="G251" t="s">
        <v>4</v>
      </c>
      <c r="H251" t="s">
        <v>10</v>
      </c>
      <c r="I251" t="s">
        <v>6</v>
      </c>
      <c r="J251">
        <v>1</v>
      </c>
      <c r="K251" s="3">
        <v>360.2</v>
      </c>
      <c r="L251" s="3">
        <f>tblBelgaumOrders[[#This Row],[Quantity]]*tblBelgaumOrders[[#This Row],[Order_Amount]]</f>
        <v>360.2</v>
      </c>
    </row>
    <row r="252" spans="1:12" x14ac:dyDescent="0.3">
      <c r="A252" t="s">
        <v>293</v>
      </c>
      <c r="B252" s="2">
        <v>45819</v>
      </c>
      <c r="C252" s="2" t="str">
        <f>TEXT(tblBelgaumOrders[[#This Row],[Order_Date]],"mmm")</f>
        <v>Jun</v>
      </c>
      <c r="D252" t="s">
        <v>67</v>
      </c>
      <c r="E252" t="s">
        <v>24</v>
      </c>
      <c r="F252" t="s">
        <v>37</v>
      </c>
      <c r="G252" t="s">
        <v>15</v>
      </c>
      <c r="H252" t="s">
        <v>5</v>
      </c>
      <c r="I252" t="s">
        <v>11</v>
      </c>
      <c r="J252">
        <v>5</v>
      </c>
      <c r="K252" s="3">
        <v>1160.1500000000001</v>
      </c>
      <c r="L252" s="3">
        <f>tblBelgaumOrders[[#This Row],[Quantity]]*tblBelgaumOrders[[#This Row],[Order_Amount]]</f>
        <v>5800.75</v>
      </c>
    </row>
    <row r="253" spans="1:12" x14ac:dyDescent="0.3">
      <c r="A253" t="s">
        <v>294</v>
      </c>
      <c r="B253" s="2">
        <v>45948</v>
      </c>
      <c r="C253" s="2" t="str">
        <f>TEXT(tblBelgaumOrders[[#This Row],[Order_Date]],"mmm")</f>
        <v>Oct</v>
      </c>
      <c r="D253" t="s">
        <v>29</v>
      </c>
      <c r="E253" t="s">
        <v>14</v>
      </c>
      <c r="F253" t="s">
        <v>37</v>
      </c>
      <c r="G253" t="s">
        <v>4</v>
      </c>
      <c r="H253" t="s">
        <v>5</v>
      </c>
      <c r="I253" t="s">
        <v>18</v>
      </c>
      <c r="J253">
        <v>8</v>
      </c>
      <c r="K253" s="3">
        <v>1848.84</v>
      </c>
      <c r="L253" s="3">
        <f>tblBelgaumOrders[[#This Row],[Quantity]]*tblBelgaumOrders[[#This Row],[Order_Amount]]</f>
        <v>14790.72</v>
      </c>
    </row>
    <row r="254" spans="1:12" x14ac:dyDescent="0.3">
      <c r="A254" t="s">
        <v>295</v>
      </c>
      <c r="B254" s="2">
        <v>45835</v>
      </c>
      <c r="C254" s="2" t="str">
        <f>TEXT(tblBelgaumOrders[[#This Row],[Order_Date]],"mmm")</f>
        <v>Jun</v>
      </c>
      <c r="D254" t="s">
        <v>8</v>
      </c>
      <c r="E254" t="s">
        <v>2</v>
      </c>
      <c r="F254" t="s">
        <v>3</v>
      </c>
      <c r="G254" t="s">
        <v>4</v>
      </c>
      <c r="H254" t="s">
        <v>5</v>
      </c>
      <c r="I254" t="s">
        <v>6</v>
      </c>
      <c r="J254">
        <v>10</v>
      </c>
      <c r="K254" s="3">
        <v>2568.86</v>
      </c>
      <c r="L254" s="3">
        <f>tblBelgaumOrders[[#This Row],[Quantity]]*tblBelgaumOrders[[#This Row],[Order_Amount]]</f>
        <v>25688.600000000002</v>
      </c>
    </row>
    <row r="255" spans="1:12" x14ac:dyDescent="0.3">
      <c r="A255" t="s">
        <v>296</v>
      </c>
      <c r="B255" s="2">
        <v>45825</v>
      </c>
      <c r="C255" s="2" t="str">
        <f>TEXT(tblBelgaumOrders[[#This Row],[Order_Date]],"mmm")</f>
        <v>Jun</v>
      </c>
      <c r="D255" t="s">
        <v>67</v>
      </c>
      <c r="E255" t="s">
        <v>14</v>
      </c>
      <c r="F255" t="s">
        <v>40</v>
      </c>
      <c r="G255" t="s">
        <v>4</v>
      </c>
      <c r="H255" t="s">
        <v>10</v>
      </c>
      <c r="I255" t="s">
        <v>6</v>
      </c>
      <c r="J255">
        <v>18</v>
      </c>
      <c r="K255" s="3">
        <v>2906.23</v>
      </c>
      <c r="L255" s="3">
        <f>tblBelgaumOrders[[#This Row],[Quantity]]*tblBelgaumOrders[[#This Row],[Order_Amount]]</f>
        <v>52312.14</v>
      </c>
    </row>
    <row r="256" spans="1:12" x14ac:dyDescent="0.3">
      <c r="A256" t="s">
        <v>297</v>
      </c>
      <c r="B256" s="2">
        <v>46006</v>
      </c>
      <c r="C256" s="2" t="str">
        <f>TEXT(tblBelgaumOrders[[#This Row],[Order_Date]],"mmm")</f>
        <v>Dec</v>
      </c>
      <c r="D256" t="s">
        <v>29</v>
      </c>
      <c r="E256" t="s">
        <v>2</v>
      </c>
      <c r="F256" t="s">
        <v>37</v>
      </c>
      <c r="G256" t="s">
        <v>15</v>
      </c>
      <c r="H256" t="s">
        <v>5</v>
      </c>
      <c r="I256" t="s">
        <v>11</v>
      </c>
      <c r="J256">
        <v>3</v>
      </c>
      <c r="K256" s="3">
        <v>645.48</v>
      </c>
      <c r="L256" s="3">
        <f>tblBelgaumOrders[[#This Row],[Quantity]]*tblBelgaumOrders[[#This Row],[Order_Amount]]</f>
        <v>1936.44</v>
      </c>
    </row>
    <row r="257" spans="1:12" x14ac:dyDescent="0.3">
      <c r="A257" t="s">
        <v>298</v>
      </c>
      <c r="B257" s="2">
        <v>45982</v>
      </c>
      <c r="C257" s="2" t="str">
        <f>TEXT(tblBelgaumOrders[[#This Row],[Order_Date]],"mmm")</f>
        <v>Nov</v>
      </c>
      <c r="D257" t="s">
        <v>75</v>
      </c>
      <c r="E257" t="s">
        <v>14</v>
      </c>
      <c r="F257" t="s">
        <v>3</v>
      </c>
      <c r="G257" t="s">
        <v>4</v>
      </c>
      <c r="H257" t="s">
        <v>10</v>
      </c>
      <c r="I257" t="s">
        <v>11</v>
      </c>
      <c r="J257">
        <v>17</v>
      </c>
      <c r="K257" s="3">
        <v>5334.09</v>
      </c>
      <c r="L257" s="3">
        <f>tblBelgaumOrders[[#This Row],[Quantity]]*tblBelgaumOrders[[#This Row],[Order_Amount]]</f>
        <v>90679.53</v>
      </c>
    </row>
    <row r="258" spans="1:12" x14ac:dyDescent="0.3">
      <c r="A258" t="s">
        <v>299</v>
      </c>
      <c r="B258" s="2">
        <v>45710</v>
      </c>
      <c r="C258" s="2" t="str">
        <f>TEXT(tblBelgaumOrders[[#This Row],[Order_Date]],"mmm")</f>
        <v>Feb</v>
      </c>
      <c r="D258" t="s">
        <v>75</v>
      </c>
      <c r="E258" t="s">
        <v>2</v>
      </c>
      <c r="F258" t="s">
        <v>77</v>
      </c>
      <c r="G258" t="s">
        <v>4</v>
      </c>
      <c r="H258" t="s">
        <v>10</v>
      </c>
      <c r="I258" t="s">
        <v>11</v>
      </c>
      <c r="J258">
        <v>2</v>
      </c>
      <c r="K258" s="3">
        <v>1828.46</v>
      </c>
      <c r="L258" s="3">
        <f>tblBelgaumOrders[[#This Row],[Quantity]]*tblBelgaumOrders[[#This Row],[Order_Amount]]</f>
        <v>3656.92</v>
      </c>
    </row>
    <row r="259" spans="1:12" x14ac:dyDescent="0.3">
      <c r="A259" t="s">
        <v>300</v>
      </c>
      <c r="B259" s="2">
        <v>45705</v>
      </c>
      <c r="C259" s="2" t="str">
        <f>TEXT(tblBelgaumOrders[[#This Row],[Order_Date]],"mmm")</f>
        <v>Feb</v>
      </c>
      <c r="D259" t="s">
        <v>53</v>
      </c>
      <c r="E259" t="s">
        <v>14</v>
      </c>
      <c r="F259" t="s">
        <v>9</v>
      </c>
      <c r="G259" t="s">
        <v>4</v>
      </c>
      <c r="H259" t="s">
        <v>5</v>
      </c>
      <c r="I259" t="s">
        <v>18</v>
      </c>
      <c r="J259">
        <v>23</v>
      </c>
      <c r="K259" s="3">
        <v>5353.54</v>
      </c>
      <c r="L259" s="3">
        <f>tblBelgaumOrders[[#This Row],[Quantity]]*tblBelgaumOrders[[#This Row],[Order_Amount]]</f>
        <v>123131.42</v>
      </c>
    </row>
    <row r="260" spans="1:12" x14ac:dyDescent="0.3">
      <c r="A260" t="s">
        <v>301</v>
      </c>
      <c r="B260" s="2">
        <v>45782</v>
      </c>
      <c r="C260" s="2" t="str">
        <f>TEXT(tblBelgaumOrders[[#This Row],[Order_Date]],"mmm")</f>
        <v>May</v>
      </c>
      <c r="D260" t="s">
        <v>42</v>
      </c>
      <c r="E260" t="s">
        <v>2</v>
      </c>
      <c r="F260" t="s">
        <v>51</v>
      </c>
      <c r="G260" t="s">
        <v>4</v>
      </c>
      <c r="H260" t="s">
        <v>10</v>
      </c>
      <c r="I260" t="s">
        <v>6</v>
      </c>
      <c r="J260">
        <v>2</v>
      </c>
      <c r="K260" s="3">
        <v>3061.17</v>
      </c>
      <c r="L260" s="3">
        <f>tblBelgaumOrders[[#This Row],[Quantity]]*tblBelgaumOrders[[#This Row],[Order_Amount]]</f>
        <v>6122.34</v>
      </c>
    </row>
    <row r="261" spans="1:12" x14ac:dyDescent="0.3">
      <c r="A261" t="s">
        <v>302</v>
      </c>
      <c r="B261" s="2">
        <v>45811</v>
      </c>
      <c r="C261" s="2" t="str">
        <f>TEXT(tblBelgaumOrders[[#This Row],[Order_Date]],"mmm")</f>
        <v>Jun</v>
      </c>
      <c r="D261" t="s">
        <v>55</v>
      </c>
      <c r="E261" t="s">
        <v>14</v>
      </c>
      <c r="F261" t="s">
        <v>51</v>
      </c>
      <c r="G261" t="s">
        <v>30</v>
      </c>
      <c r="H261" t="s">
        <v>5</v>
      </c>
      <c r="I261" t="s">
        <v>6</v>
      </c>
      <c r="J261">
        <v>3</v>
      </c>
      <c r="K261" s="3">
        <v>4683.58</v>
      </c>
      <c r="L261" s="3">
        <f>tblBelgaumOrders[[#This Row],[Quantity]]*tblBelgaumOrders[[#This Row],[Order_Amount]]</f>
        <v>14050.74</v>
      </c>
    </row>
    <row r="262" spans="1:12" x14ac:dyDescent="0.3">
      <c r="A262" t="s">
        <v>303</v>
      </c>
      <c r="B262" s="2">
        <v>45661</v>
      </c>
      <c r="C262" s="2" t="str">
        <f>TEXT(tblBelgaumOrders[[#This Row],[Order_Date]],"mmm")</f>
        <v>Jan</v>
      </c>
      <c r="D262" t="s">
        <v>29</v>
      </c>
      <c r="E262" t="s">
        <v>2</v>
      </c>
      <c r="F262" t="s">
        <v>26</v>
      </c>
      <c r="G262" t="s">
        <v>15</v>
      </c>
      <c r="H262" t="s">
        <v>10</v>
      </c>
      <c r="I262" t="s">
        <v>11</v>
      </c>
      <c r="J262">
        <v>10</v>
      </c>
      <c r="K262" s="3">
        <v>4491.04</v>
      </c>
      <c r="L262" s="3">
        <f>tblBelgaumOrders[[#This Row],[Quantity]]*tblBelgaumOrders[[#This Row],[Order_Amount]]</f>
        <v>44910.400000000001</v>
      </c>
    </row>
    <row r="263" spans="1:12" x14ac:dyDescent="0.3">
      <c r="A263" t="s">
        <v>304</v>
      </c>
      <c r="B263" s="2">
        <v>45822</v>
      </c>
      <c r="C263" s="2" t="str">
        <f>TEXT(tblBelgaumOrders[[#This Row],[Order_Date]],"mmm")</f>
        <v>Jun</v>
      </c>
      <c r="D263" t="s">
        <v>48</v>
      </c>
      <c r="E263" t="s">
        <v>2</v>
      </c>
      <c r="F263" t="s">
        <v>9</v>
      </c>
      <c r="G263" t="s">
        <v>4</v>
      </c>
      <c r="H263" t="s">
        <v>10</v>
      </c>
      <c r="I263" t="s">
        <v>18</v>
      </c>
      <c r="J263">
        <v>8</v>
      </c>
      <c r="K263" s="3">
        <v>1916.15</v>
      </c>
      <c r="L263" s="3">
        <f>tblBelgaumOrders[[#This Row],[Quantity]]*tblBelgaumOrders[[#This Row],[Order_Amount]]</f>
        <v>15329.2</v>
      </c>
    </row>
    <row r="264" spans="1:12" x14ac:dyDescent="0.3">
      <c r="A264" t="s">
        <v>305</v>
      </c>
      <c r="B264" s="2">
        <v>45782</v>
      </c>
      <c r="C264" s="2" t="str">
        <f>TEXT(tblBelgaumOrders[[#This Row],[Order_Date]],"mmm")</f>
        <v>May</v>
      </c>
      <c r="D264" t="s">
        <v>53</v>
      </c>
      <c r="E264" t="s">
        <v>2</v>
      </c>
      <c r="F264" t="s">
        <v>21</v>
      </c>
      <c r="G264" t="s">
        <v>4</v>
      </c>
      <c r="H264" t="s">
        <v>10</v>
      </c>
      <c r="I264" t="s">
        <v>6</v>
      </c>
      <c r="J264">
        <v>10</v>
      </c>
      <c r="K264" s="3">
        <v>1618.03</v>
      </c>
      <c r="L264" s="3">
        <f>tblBelgaumOrders[[#This Row],[Quantity]]*tblBelgaumOrders[[#This Row],[Order_Amount]]</f>
        <v>16180.3</v>
      </c>
    </row>
    <row r="265" spans="1:12" x14ac:dyDescent="0.3">
      <c r="A265" t="s">
        <v>306</v>
      </c>
      <c r="B265" s="2">
        <v>45750</v>
      </c>
      <c r="C265" s="2" t="str">
        <f>TEXT(tblBelgaumOrders[[#This Row],[Order_Date]],"mmm")</f>
        <v>Apr</v>
      </c>
      <c r="D265" t="s">
        <v>39</v>
      </c>
      <c r="E265" t="s">
        <v>2</v>
      </c>
      <c r="F265" t="s">
        <v>40</v>
      </c>
      <c r="G265" t="s">
        <v>30</v>
      </c>
      <c r="H265" t="s">
        <v>10</v>
      </c>
      <c r="I265" t="s">
        <v>18</v>
      </c>
      <c r="J265">
        <v>2</v>
      </c>
      <c r="K265" s="3">
        <v>397.24</v>
      </c>
      <c r="L265" s="3">
        <f>tblBelgaumOrders[[#This Row],[Quantity]]*tblBelgaumOrders[[#This Row],[Order_Amount]]</f>
        <v>794.48</v>
      </c>
    </row>
    <row r="266" spans="1:12" x14ac:dyDescent="0.3">
      <c r="A266" t="s">
        <v>307</v>
      </c>
      <c r="B266" s="2">
        <v>45867</v>
      </c>
      <c r="C266" s="2" t="str">
        <f>TEXT(tblBelgaumOrders[[#This Row],[Order_Date]],"mmm")</f>
        <v>Jul</v>
      </c>
      <c r="D266" t="s">
        <v>55</v>
      </c>
      <c r="E266" t="s">
        <v>2</v>
      </c>
      <c r="F266" t="s">
        <v>3</v>
      </c>
      <c r="G266" t="s">
        <v>4</v>
      </c>
      <c r="H266" t="s">
        <v>10</v>
      </c>
      <c r="I266" t="s">
        <v>11</v>
      </c>
      <c r="J266">
        <v>7</v>
      </c>
      <c r="K266" s="3">
        <v>1445.77</v>
      </c>
      <c r="L266" s="3">
        <f>tblBelgaumOrders[[#This Row],[Quantity]]*tblBelgaumOrders[[#This Row],[Order_Amount]]</f>
        <v>10120.39</v>
      </c>
    </row>
    <row r="267" spans="1:12" x14ac:dyDescent="0.3">
      <c r="A267" t="s">
        <v>308</v>
      </c>
      <c r="B267" s="2">
        <v>45964</v>
      </c>
      <c r="C267" s="2" t="str">
        <f>TEXT(tblBelgaumOrders[[#This Row],[Order_Date]],"mmm")</f>
        <v>Nov</v>
      </c>
      <c r="D267" t="s">
        <v>55</v>
      </c>
      <c r="E267" t="s">
        <v>2</v>
      </c>
      <c r="F267" t="s">
        <v>37</v>
      </c>
      <c r="G267" t="s">
        <v>30</v>
      </c>
      <c r="H267" t="s">
        <v>5</v>
      </c>
      <c r="I267" t="s">
        <v>11</v>
      </c>
      <c r="J267">
        <v>1</v>
      </c>
      <c r="K267" s="3">
        <v>269.38</v>
      </c>
      <c r="L267" s="3">
        <f>tblBelgaumOrders[[#This Row],[Quantity]]*tblBelgaumOrders[[#This Row],[Order_Amount]]</f>
        <v>269.38</v>
      </c>
    </row>
    <row r="268" spans="1:12" x14ac:dyDescent="0.3">
      <c r="A268" t="s">
        <v>309</v>
      </c>
      <c r="B268" s="2">
        <v>45842</v>
      </c>
      <c r="C268" s="2" t="str">
        <f>TEXT(tblBelgaumOrders[[#This Row],[Order_Date]],"mmm")</f>
        <v>Jul</v>
      </c>
      <c r="D268" t="s">
        <v>39</v>
      </c>
      <c r="E268" t="s">
        <v>2</v>
      </c>
      <c r="F268" t="s">
        <v>73</v>
      </c>
      <c r="G268" t="s">
        <v>4</v>
      </c>
      <c r="H268" t="s">
        <v>10</v>
      </c>
      <c r="I268" t="s">
        <v>6</v>
      </c>
      <c r="J268">
        <v>3</v>
      </c>
      <c r="K268" s="3">
        <v>1434.13</v>
      </c>
      <c r="L268" s="3">
        <f>tblBelgaumOrders[[#This Row],[Quantity]]*tblBelgaumOrders[[#This Row],[Order_Amount]]</f>
        <v>4302.3900000000003</v>
      </c>
    </row>
    <row r="269" spans="1:12" x14ac:dyDescent="0.3">
      <c r="A269" t="s">
        <v>310</v>
      </c>
      <c r="B269" s="2">
        <v>45680</v>
      </c>
      <c r="C269" s="2" t="str">
        <f>TEXT(tblBelgaumOrders[[#This Row],[Order_Date]],"mmm")</f>
        <v>Jan</v>
      </c>
      <c r="D269" t="s">
        <v>29</v>
      </c>
      <c r="E269" t="s">
        <v>24</v>
      </c>
      <c r="F269" t="s">
        <v>51</v>
      </c>
      <c r="G269" t="s">
        <v>15</v>
      </c>
      <c r="H269" t="s">
        <v>10</v>
      </c>
      <c r="I269" t="s">
        <v>11</v>
      </c>
      <c r="J269">
        <v>10</v>
      </c>
      <c r="K269" s="3">
        <v>21445.83</v>
      </c>
      <c r="L269" s="3">
        <f>tblBelgaumOrders[[#This Row],[Quantity]]*tblBelgaumOrders[[#This Row],[Order_Amount]]</f>
        <v>214458.30000000002</v>
      </c>
    </row>
    <row r="270" spans="1:12" x14ac:dyDescent="0.3">
      <c r="A270" t="s">
        <v>311</v>
      </c>
      <c r="B270" s="2">
        <v>45952</v>
      </c>
      <c r="C270" s="2" t="str">
        <f>TEXT(tblBelgaumOrders[[#This Row],[Order_Date]],"mmm")</f>
        <v>Oct</v>
      </c>
      <c r="D270" t="s">
        <v>50</v>
      </c>
      <c r="E270" t="s">
        <v>2</v>
      </c>
      <c r="F270" t="s">
        <v>51</v>
      </c>
      <c r="G270" t="s">
        <v>15</v>
      </c>
      <c r="H270" t="s">
        <v>5</v>
      </c>
      <c r="I270" t="s">
        <v>6</v>
      </c>
      <c r="J270">
        <v>6</v>
      </c>
      <c r="K270" s="3">
        <v>14565.11</v>
      </c>
      <c r="L270" s="3">
        <f>tblBelgaumOrders[[#This Row],[Quantity]]*tblBelgaumOrders[[#This Row],[Order_Amount]]</f>
        <v>87390.66</v>
      </c>
    </row>
    <row r="271" spans="1:12" x14ac:dyDescent="0.3">
      <c r="A271" t="s">
        <v>312</v>
      </c>
      <c r="B271" s="2">
        <v>45809</v>
      </c>
      <c r="C271" s="2" t="str">
        <f>TEXT(tblBelgaumOrders[[#This Row],[Order_Date]],"mmm")</f>
        <v>Jun</v>
      </c>
      <c r="D271" t="s">
        <v>79</v>
      </c>
      <c r="E271" t="s">
        <v>24</v>
      </c>
      <c r="F271" t="s">
        <v>9</v>
      </c>
      <c r="G271" t="s">
        <v>17</v>
      </c>
      <c r="H271" t="s">
        <v>5</v>
      </c>
      <c r="I271" t="s">
        <v>11</v>
      </c>
      <c r="J271">
        <v>13</v>
      </c>
      <c r="K271" s="3">
        <v>0</v>
      </c>
      <c r="L271" s="3">
        <f>tblBelgaumOrders[[#This Row],[Quantity]]*tblBelgaumOrders[[#This Row],[Order_Amount]]</f>
        <v>0</v>
      </c>
    </row>
    <row r="272" spans="1:12" x14ac:dyDescent="0.3">
      <c r="A272" t="s">
        <v>313</v>
      </c>
      <c r="B272" s="2">
        <v>45905</v>
      </c>
      <c r="C272" s="2" t="str">
        <f>TEXT(tblBelgaumOrders[[#This Row],[Order_Date]],"mmm")</f>
        <v>Sep</v>
      </c>
      <c r="D272" t="s">
        <v>34</v>
      </c>
      <c r="E272" t="s">
        <v>2</v>
      </c>
      <c r="F272" t="s">
        <v>77</v>
      </c>
      <c r="G272" t="s">
        <v>4</v>
      </c>
      <c r="H272" t="s">
        <v>10</v>
      </c>
      <c r="I272" t="s">
        <v>11</v>
      </c>
      <c r="J272">
        <v>2</v>
      </c>
      <c r="K272" s="3">
        <v>1450.75</v>
      </c>
      <c r="L272" s="3">
        <f>tblBelgaumOrders[[#This Row],[Quantity]]*tblBelgaumOrders[[#This Row],[Order_Amount]]</f>
        <v>2901.5</v>
      </c>
    </row>
    <row r="273" spans="1:12" x14ac:dyDescent="0.3">
      <c r="A273" t="s">
        <v>314</v>
      </c>
      <c r="B273" s="2">
        <v>45833</v>
      </c>
      <c r="C273" s="2" t="str">
        <f>TEXT(tblBelgaumOrders[[#This Row],[Order_Date]],"mmm")</f>
        <v>Jun</v>
      </c>
      <c r="D273" t="s">
        <v>1</v>
      </c>
      <c r="E273" t="s">
        <v>14</v>
      </c>
      <c r="F273" t="s">
        <v>9</v>
      </c>
      <c r="G273" t="s">
        <v>30</v>
      </c>
      <c r="H273" t="s">
        <v>10</v>
      </c>
      <c r="I273" t="s">
        <v>11</v>
      </c>
      <c r="J273">
        <v>11</v>
      </c>
      <c r="K273" s="3">
        <v>1878.22</v>
      </c>
      <c r="L273" s="3">
        <f>tblBelgaumOrders[[#This Row],[Quantity]]*tblBelgaumOrders[[#This Row],[Order_Amount]]</f>
        <v>20660.420000000002</v>
      </c>
    </row>
    <row r="274" spans="1:12" x14ac:dyDescent="0.3">
      <c r="A274" t="s">
        <v>315</v>
      </c>
      <c r="B274" s="2">
        <v>45876</v>
      </c>
      <c r="C274" s="2" t="str">
        <f>TEXT(tblBelgaumOrders[[#This Row],[Order_Date]],"mmm")</f>
        <v>Aug</v>
      </c>
      <c r="D274" t="s">
        <v>32</v>
      </c>
      <c r="E274" t="s">
        <v>2</v>
      </c>
      <c r="F274" t="s">
        <v>77</v>
      </c>
      <c r="G274" t="s">
        <v>4</v>
      </c>
      <c r="H274" t="s">
        <v>5</v>
      </c>
      <c r="I274" t="s">
        <v>11</v>
      </c>
      <c r="J274">
        <v>1</v>
      </c>
      <c r="K274" s="3">
        <v>1132.81</v>
      </c>
      <c r="L274" s="3">
        <f>tblBelgaumOrders[[#This Row],[Quantity]]*tblBelgaumOrders[[#This Row],[Order_Amount]]</f>
        <v>1132.81</v>
      </c>
    </row>
    <row r="275" spans="1:12" x14ac:dyDescent="0.3">
      <c r="A275" t="s">
        <v>316</v>
      </c>
      <c r="B275" s="2">
        <v>45759</v>
      </c>
      <c r="C275" s="2" t="str">
        <f>TEXT(tblBelgaumOrders[[#This Row],[Order_Date]],"mmm")</f>
        <v>Apr</v>
      </c>
      <c r="D275" t="s">
        <v>32</v>
      </c>
      <c r="E275" t="s">
        <v>2</v>
      </c>
      <c r="F275" t="s">
        <v>51</v>
      </c>
      <c r="G275" t="s">
        <v>15</v>
      </c>
      <c r="H275" t="s">
        <v>10</v>
      </c>
      <c r="I275" t="s">
        <v>18</v>
      </c>
      <c r="J275">
        <v>2</v>
      </c>
      <c r="K275" s="3">
        <v>3947.07</v>
      </c>
      <c r="L275" s="3">
        <f>tblBelgaumOrders[[#This Row],[Quantity]]*tblBelgaumOrders[[#This Row],[Order_Amount]]</f>
        <v>7894.14</v>
      </c>
    </row>
    <row r="276" spans="1:12" x14ac:dyDescent="0.3">
      <c r="A276" t="s">
        <v>317</v>
      </c>
      <c r="B276" s="2">
        <v>45932</v>
      </c>
      <c r="C276" s="2" t="str">
        <f>TEXT(tblBelgaumOrders[[#This Row],[Order_Date]],"mmm")</f>
        <v>Oct</v>
      </c>
      <c r="D276" t="s">
        <v>58</v>
      </c>
      <c r="E276" t="s">
        <v>2</v>
      </c>
      <c r="F276" t="s">
        <v>9</v>
      </c>
      <c r="G276" t="s">
        <v>4</v>
      </c>
      <c r="H276" t="s">
        <v>5</v>
      </c>
      <c r="I276" t="s">
        <v>6</v>
      </c>
      <c r="J276">
        <v>6</v>
      </c>
      <c r="K276" s="3">
        <v>1196.8399999999999</v>
      </c>
      <c r="L276" s="3">
        <f>tblBelgaumOrders[[#This Row],[Quantity]]*tblBelgaumOrders[[#This Row],[Order_Amount]]</f>
        <v>7181.0399999999991</v>
      </c>
    </row>
    <row r="277" spans="1:12" x14ac:dyDescent="0.3">
      <c r="A277" t="s">
        <v>318</v>
      </c>
      <c r="B277" s="2">
        <v>45970</v>
      </c>
      <c r="C277" s="2" t="str">
        <f>TEXT(tblBelgaumOrders[[#This Row],[Order_Date]],"mmm")</f>
        <v>Nov</v>
      </c>
      <c r="D277" t="s">
        <v>29</v>
      </c>
      <c r="E277" t="s">
        <v>2</v>
      </c>
      <c r="F277" t="s">
        <v>51</v>
      </c>
      <c r="G277" t="s">
        <v>17</v>
      </c>
      <c r="H277" t="s">
        <v>5</v>
      </c>
      <c r="I277" t="s">
        <v>18</v>
      </c>
      <c r="J277">
        <v>5</v>
      </c>
      <c r="K277" s="3">
        <v>0</v>
      </c>
      <c r="L277" s="3">
        <f>tblBelgaumOrders[[#This Row],[Quantity]]*tblBelgaumOrders[[#This Row],[Order_Amount]]</f>
        <v>0</v>
      </c>
    </row>
    <row r="278" spans="1:12" x14ac:dyDescent="0.3">
      <c r="A278" t="s">
        <v>319</v>
      </c>
      <c r="B278" s="2">
        <v>46002</v>
      </c>
      <c r="C278" s="2" t="str">
        <f>TEXT(tblBelgaumOrders[[#This Row],[Order_Date]],"mmm")</f>
        <v>Dec</v>
      </c>
      <c r="D278" t="s">
        <v>75</v>
      </c>
      <c r="E278" t="s">
        <v>2</v>
      </c>
      <c r="F278" t="s">
        <v>3</v>
      </c>
      <c r="G278" t="s">
        <v>4</v>
      </c>
      <c r="H278" t="s">
        <v>10</v>
      </c>
      <c r="I278" t="s">
        <v>11</v>
      </c>
      <c r="J278">
        <v>7</v>
      </c>
      <c r="K278" s="3">
        <v>1821.72</v>
      </c>
      <c r="L278" s="3">
        <f>tblBelgaumOrders[[#This Row],[Quantity]]*tblBelgaumOrders[[#This Row],[Order_Amount]]</f>
        <v>12752.04</v>
      </c>
    </row>
    <row r="279" spans="1:12" x14ac:dyDescent="0.3">
      <c r="A279" t="s">
        <v>320</v>
      </c>
      <c r="B279" s="2">
        <v>45728</v>
      </c>
      <c r="C279" s="2" t="str">
        <f>TEXT(tblBelgaumOrders[[#This Row],[Order_Date]],"mmm")</f>
        <v>Mar</v>
      </c>
      <c r="D279" t="s">
        <v>29</v>
      </c>
      <c r="E279" t="s">
        <v>2</v>
      </c>
      <c r="F279" t="s">
        <v>77</v>
      </c>
      <c r="G279" t="s">
        <v>4</v>
      </c>
      <c r="H279" t="s">
        <v>63</v>
      </c>
      <c r="I279" t="s">
        <v>46</v>
      </c>
      <c r="J279">
        <v>3</v>
      </c>
      <c r="K279" s="3">
        <v>3086.4</v>
      </c>
      <c r="L279" s="3">
        <f>tblBelgaumOrders[[#This Row],[Quantity]]*tblBelgaumOrders[[#This Row],[Order_Amount]]</f>
        <v>9259.2000000000007</v>
      </c>
    </row>
    <row r="280" spans="1:12" x14ac:dyDescent="0.3">
      <c r="A280" t="s">
        <v>321</v>
      </c>
      <c r="B280" s="2">
        <v>45908</v>
      </c>
      <c r="C280" s="2" t="str">
        <f>TEXT(tblBelgaumOrders[[#This Row],[Order_Date]],"mmm")</f>
        <v>Sep</v>
      </c>
      <c r="D280" t="s">
        <v>23</v>
      </c>
      <c r="E280" t="s">
        <v>2</v>
      </c>
      <c r="F280" t="s">
        <v>3</v>
      </c>
      <c r="G280" t="s">
        <v>4</v>
      </c>
      <c r="H280" t="s">
        <v>10</v>
      </c>
      <c r="I280" t="s">
        <v>11</v>
      </c>
      <c r="J280">
        <v>1</v>
      </c>
      <c r="K280" s="3">
        <v>270.60000000000002</v>
      </c>
      <c r="L280" s="3">
        <f>tblBelgaumOrders[[#This Row],[Quantity]]*tblBelgaumOrders[[#This Row],[Order_Amount]]</f>
        <v>270.60000000000002</v>
      </c>
    </row>
    <row r="281" spans="1:12" x14ac:dyDescent="0.3">
      <c r="A281" t="s">
        <v>322</v>
      </c>
      <c r="B281" s="2">
        <v>45757</v>
      </c>
      <c r="C281" s="2" t="str">
        <f>TEXT(tblBelgaumOrders[[#This Row],[Order_Date]],"mmm")</f>
        <v>Apr</v>
      </c>
      <c r="D281" t="s">
        <v>29</v>
      </c>
      <c r="E281" t="s">
        <v>24</v>
      </c>
      <c r="F281" t="s">
        <v>37</v>
      </c>
      <c r="G281" t="s">
        <v>4</v>
      </c>
      <c r="H281" t="s">
        <v>5</v>
      </c>
      <c r="I281" t="s">
        <v>11</v>
      </c>
      <c r="J281">
        <v>17</v>
      </c>
      <c r="K281" s="3">
        <v>4145.1099999999997</v>
      </c>
      <c r="L281" s="3">
        <f>tblBelgaumOrders[[#This Row],[Quantity]]*tblBelgaumOrders[[#This Row],[Order_Amount]]</f>
        <v>70466.87</v>
      </c>
    </row>
    <row r="282" spans="1:12" x14ac:dyDescent="0.3">
      <c r="A282" t="s">
        <v>323</v>
      </c>
      <c r="B282" s="2">
        <v>45673</v>
      </c>
      <c r="C282" s="2" t="str">
        <f>TEXT(tblBelgaumOrders[[#This Row],[Order_Date]],"mmm")</f>
        <v>Jan</v>
      </c>
      <c r="D282" t="s">
        <v>50</v>
      </c>
      <c r="E282" t="s">
        <v>2</v>
      </c>
      <c r="F282" t="s">
        <v>3</v>
      </c>
      <c r="G282" t="s">
        <v>4</v>
      </c>
      <c r="H282" t="s">
        <v>10</v>
      </c>
      <c r="I282" t="s">
        <v>11</v>
      </c>
      <c r="J282">
        <v>8</v>
      </c>
      <c r="K282" s="3">
        <v>2246.06</v>
      </c>
      <c r="L282" s="3">
        <f>tblBelgaumOrders[[#This Row],[Quantity]]*tblBelgaumOrders[[#This Row],[Order_Amount]]</f>
        <v>17968.48</v>
      </c>
    </row>
    <row r="283" spans="1:12" x14ac:dyDescent="0.3">
      <c r="A283" t="s">
        <v>324</v>
      </c>
      <c r="B283" s="2">
        <v>45715</v>
      </c>
      <c r="C283" s="2" t="str">
        <f>TEXT(tblBelgaumOrders[[#This Row],[Order_Date]],"mmm")</f>
        <v>Feb</v>
      </c>
      <c r="D283" t="s">
        <v>1</v>
      </c>
      <c r="E283" t="s">
        <v>2</v>
      </c>
      <c r="F283" t="s">
        <v>37</v>
      </c>
      <c r="G283" t="s">
        <v>30</v>
      </c>
      <c r="H283" t="s">
        <v>10</v>
      </c>
      <c r="I283" t="s">
        <v>18</v>
      </c>
      <c r="J283">
        <v>8</v>
      </c>
      <c r="K283" s="3">
        <v>1896.95</v>
      </c>
      <c r="L283" s="3">
        <f>tblBelgaumOrders[[#This Row],[Quantity]]*tblBelgaumOrders[[#This Row],[Order_Amount]]</f>
        <v>15175.6</v>
      </c>
    </row>
    <row r="284" spans="1:12" x14ac:dyDescent="0.3">
      <c r="A284" t="s">
        <v>325</v>
      </c>
      <c r="B284" s="2">
        <v>45875</v>
      </c>
      <c r="C284" s="2" t="str">
        <f>TEXT(tblBelgaumOrders[[#This Row],[Order_Date]],"mmm")</f>
        <v>Aug</v>
      </c>
      <c r="D284" t="s">
        <v>1</v>
      </c>
      <c r="E284" t="s">
        <v>14</v>
      </c>
      <c r="F284" t="s">
        <v>26</v>
      </c>
      <c r="G284" t="s">
        <v>4</v>
      </c>
      <c r="H284" t="s">
        <v>5</v>
      </c>
      <c r="I284" t="s">
        <v>11</v>
      </c>
      <c r="J284">
        <v>14</v>
      </c>
      <c r="K284" s="3">
        <v>7251.15</v>
      </c>
      <c r="L284" s="3">
        <f>tblBelgaumOrders[[#This Row],[Quantity]]*tblBelgaumOrders[[#This Row],[Order_Amount]]</f>
        <v>101516.09999999999</v>
      </c>
    </row>
    <row r="285" spans="1:12" x14ac:dyDescent="0.3">
      <c r="A285" t="s">
        <v>326</v>
      </c>
      <c r="B285" s="2">
        <v>45702</v>
      </c>
      <c r="C285" s="2" t="str">
        <f>TEXT(tblBelgaumOrders[[#This Row],[Order_Date]],"mmm")</f>
        <v>Feb</v>
      </c>
      <c r="D285" t="s">
        <v>32</v>
      </c>
      <c r="E285" t="s">
        <v>14</v>
      </c>
      <c r="F285" t="s">
        <v>9</v>
      </c>
      <c r="G285" t="s">
        <v>15</v>
      </c>
      <c r="H285" t="s">
        <v>10</v>
      </c>
      <c r="I285" t="s">
        <v>18</v>
      </c>
      <c r="J285">
        <v>17</v>
      </c>
      <c r="K285" s="3">
        <v>3875.89</v>
      </c>
      <c r="L285" s="3">
        <f>tblBelgaumOrders[[#This Row],[Quantity]]*tblBelgaumOrders[[#This Row],[Order_Amount]]</f>
        <v>65890.13</v>
      </c>
    </row>
    <row r="286" spans="1:12" x14ac:dyDescent="0.3">
      <c r="A286" t="s">
        <v>327</v>
      </c>
      <c r="B286" s="2">
        <v>45970</v>
      </c>
      <c r="C286" s="2" t="str">
        <f>TEXT(tblBelgaumOrders[[#This Row],[Order_Date]],"mmm")</f>
        <v>Nov</v>
      </c>
      <c r="D286" t="s">
        <v>79</v>
      </c>
      <c r="E286" t="s">
        <v>2</v>
      </c>
      <c r="F286" t="s">
        <v>9</v>
      </c>
      <c r="G286" t="s">
        <v>4</v>
      </c>
      <c r="H286" t="s">
        <v>10</v>
      </c>
      <c r="I286" t="s">
        <v>11</v>
      </c>
      <c r="J286">
        <v>6</v>
      </c>
      <c r="K286" s="3">
        <v>1154.92</v>
      </c>
      <c r="L286" s="3">
        <f>tblBelgaumOrders[[#This Row],[Quantity]]*tblBelgaumOrders[[#This Row],[Order_Amount]]</f>
        <v>6929.52</v>
      </c>
    </row>
    <row r="287" spans="1:12" x14ac:dyDescent="0.3">
      <c r="A287" t="s">
        <v>328</v>
      </c>
      <c r="B287" s="2">
        <v>45963</v>
      </c>
      <c r="C287" s="2" t="str">
        <f>TEXT(tblBelgaumOrders[[#This Row],[Order_Date]],"mmm")</f>
        <v>Nov</v>
      </c>
      <c r="D287" t="s">
        <v>39</v>
      </c>
      <c r="E287" t="s">
        <v>2</v>
      </c>
      <c r="F287" t="s">
        <v>35</v>
      </c>
      <c r="G287" t="s">
        <v>4</v>
      </c>
      <c r="H287" t="s">
        <v>10</v>
      </c>
      <c r="I287" t="s">
        <v>46</v>
      </c>
      <c r="J287">
        <v>9</v>
      </c>
      <c r="K287" s="3">
        <v>38629.24</v>
      </c>
      <c r="L287" s="3">
        <f>tblBelgaumOrders[[#This Row],[Quantity]]*tblBelgaumOrders[[#This Row],[Order_Amount]]</f>
        <v>347663.16</v>
      </c>
    </row>
    <row r="288" spans="1:12" x14ac:dyDescent="0.3">
      <c r="A288" t="s">
        <v>329</v>
      </c>
      <c r="B288" s="2">
        <v>45706</v>
      </c>
      <c r="C288" s="2" t="str">
        <f>TEXT(tblBelgaumOrders[[#This Row],[Order_Date]],"mmm")</f>
        <v>Feb</v>
      </c>
      <c r="D288" t="s">
        <v>75</v>
      </c>
      <c r="E288" t="s">
        <v>24</v>
      </c>
      <c r="F288" t="s">
        <v>40</v>
      </c>
      <c r="G288" t="s">
        <v>17</v>
      </c>
      <c r="H288" t="s">
        <v>63</v>
      </c>
      <c r="I288" t="s">
        <v>18</v>
      </c>
      <c r="J288">
        <v>7</v>
      </c>
      <c r="K288" s="3">
        <v>0</v>
      </c>
      <c r="L288" s="3">
        <f>tblBelgaumOrders[[#This Row],[Quantity]]*tblBelgaumOrders[[#This Row],[Order_Amount]]</f>
        <v>0</v>
      </c>
    </row>
    <row r="289" spans="1:12" x14ac:dyDescent="0.3">
      <c r="A289" t="s">
        <v>330</v>
      </c>
      <c r="B289" s="2">
        <v>45732</v>
      </c>
      <c r="C289" s="2" t="str">
        <f>TEXT(tblBelgaumOrders[[#This Row],[Order_Date]],"mmm")</f>
        <v>Mar</v>
      </c>
      <c r="D289" t="s">
        <v>53</v>
      </c>
      <c r="E289" t="s">
        <v>14</v>
      </c>
      <c r="F289" t="s">
        <v>40</v>
      </c>
      <c r="G289" t="s">
        <v>4</v>
      </c>
      <c r="H289" t="s">
        <v>10</v>
      </c>
      <c r="I289" t="s">
        <v>6</v>
      </c>
      <c r="J289">
        <v>14</v>
      </c>
      <c r="K289" s="3">
        <v>2523.7800000000002</v>
      </c>
      <c r="L289" s="3">
        <f>tblBelgaumOrders[[#This Row],[Quantity]]*tblBelgaumOrders[[#This Row],[Order_Amount]]</f>
        <v>35332.920000000006</v>
      </c>
    </row>
    <row r="290" spans="1:12" x14ac:dyDescent="0.3">
      <c r="A290" t="s">
        <v>331</v>
      </c>
      <c r="B290" s="2">
        <v>45850</v>
      </c>
      <c r="C290" s="2" t="str">
        <f>TEXT(tblBelgaumOrders[[#This Row],[Order_Date]],"mmm")</f>
        <v>Jul</v>
      </c>
      <c r="D290" t="s">
        <v>32</v>
      </c>
      <c r="E290" t="s">
        <v>2</v>
      </c>
      <c r="F290" t="s">
        <v>21</v>
      </c>
      <c r="G290" t="s">
        <v>15</v>
      </c>
      <c r="H290" t="s">
        <v>10</v>
      </c>
      <c r="I290" t="s">
        <v>18</v>
      </c>
      <c r="J290">
        <v>6</v>
      </c>
      <c r="K290" s="3">
        <v>736.43</v>
      </c>
      <c r="L290" s="3">
        <f>tblBelgaumOrders[[#This Row],[Quantity]]*tblBelgaumOrders[[#This Row],[Order_Amount]]</f>
        <v>4418.58</v>
      </c>
    </row>
    <row r="291" spans="1:12" x14ac:dyDescent="0.3">
      <c r="A291" t="s">
        <v>332</v>
      </c>
      <c r="B291" s="2">
        <v>45907</v>
      </c>
      <c r="C291" s="2" t="str">
        <f>TEXT(tblBelgaumOrders[[#This Row],[Order_Date]],"mmm")</f>
        <v>Sep</v>
      </c>
      <c r="D291" t="s">
        <v>53</v>
      </c>
      <c r="E291" t="s">
        <v>2</v>
      </c>
      <c r="F291" t="s">
        <v>21</v>
      </c>
      <c r="G291" t="s">
        <v>17</v>
      </c>
      <c r="H291" t="s">
        <v>10</v>
      </c>
      <c r="I291" t="s">
        <v>82</v>
      </c>
      <c r="J291">
        <v>6</v>
      </c>
      <c r="K291" s="3">
        <v>0</v>
      </c>
      <c r="L291" s="3">
        <f>tblBelgaumOrders[[#This Row],[Quantity]]*tblBelgaumOrders[[#This Row],[Order_Amount]]</f>
        <v>0</v>
      </c>
    </row>
    <row r="292" spans="1:12" x14ac:dyDescent="0.3">
      <c r="A292" t="s">
        <v>333</v>
      </c>
      <c r="B292" s="2">
        <v>45931</v>
      </c>
      <c r="C292" s="2" t="str">
        <f>TEXT(tblBelgaumOrders[[#This Row],[Order_Date]],"mmm")</f>
        <v>Oct</v>
      </c>
      <c r="D292" t="s">
        <v>29</v>
      </c>
      <c r="E292" t="s">
        <v>2</v>
      </c>
      <c r="F292" t="s">
        <v>77</v>
      </c>
      <c r="G292" t="s">
        <v>4</v>
      </c>
      <c r="H292" t="s">
        <v>10</v>
      </c>
      <c r="I292" t="s">
        <v>18</v>
      </c>
      <c r="J292">
        <v>6</v>
      </c>
      <c r="K292" s="3">
        <v>6146.8</v>
      </c>
      <c r="L292" s="3">
        <f>tblBelgaumOrders[[#This Row],[Quantity]]*tblBelgaumOrders[[#This Row],[Order_Amount]]</f>
        <v>36880.800000000003</v>
      </c>
    </row>
    <row r="293" spans="1:12" x14ac:dyDescent="0.3">
      <c r="A293" t="s">
        <v>334</v>
      </c>
      <c r="B293" s="2">
        <v>45724</v>
      </c>
      <c r="C293" s="2" t="str">
        <f>TEXT(tblBelgaumOrders[[#This Row],[Order_Date]],"mmm")</f>
        <v>Mar</v>
      </c>
      <c r="D293" t="s">
        <v>55</v>
      </c>
      <c r="E293" t="s">
        <v>14</v>
      </c>
      <c r="F293" t="s">
        <v>73</v>
      </c>
      <c r="G293" t="s">
        <v>15</v>
      </c>
      <c r="H293" t="s">
        <v>10</v>
      </c>
      <c r="I293" t="s">
        <v>6</v>
      </c>
      <c r="J293">
        <v>20</v>
      </c>
      <c r="K293" s="3">
        <v>6382.06</v>
      </c>
      <c r="L293" s="3">
        <f>tblBelgaumOrders[[#This Row],[Quantity]]*tblBelgaumOrders[[#This Row],[Order_Amount]]</f>
        <v>127641.20000000001</v>
      </c>
    </row>
    <row r="294" spans="1:12" x14ac:dyDescent="0.3">
      <c r="A294" t="s">
        <v>335</v>
      </c>
      <c r="B294" s="2">
        <v>45738</v>
      </c>
      <c r="C294" s="2" t="str">
        <f>TEXT(tblBelgaumOrders[[#This Row],[Order_Date]],"mmm")</f>
        <v>Mar</v>
      </c>
      <c r="D294" t="s">
        <v>32</v>
      </c>
      <c r="E294" t="s">
        <v>2</v>
      </c>
      <c r="F294" t="s">
        <v>35</v>
      </c>
      <c r="G294" t="s">
        <v>4</v>
      </c>
      <c r="H294" t="s">
        <v>63</v>
      </c>
      <c r="I294" t="s">
        <v>46</v>
      </c>
      <c r="J294">
        <v>5</v>
      </c>
      <c r="K294" s="3">
        <v>13526.18</v>
      </c>
      <c r="L294" s="3">
        <f>tblBelgaumOrders[[#This Row],[Quantity]]*tblBelgaumOrders[[#This Row],[Order_Amount]]</f>
        <v>67630.899999999994</v>
      </c>
    </row>
    <row r="295" spans="1:12" x14ac:dyDescent="0.3">
      <c r="A295" t="s">
        <v>336</v>
      </c>
      <c r="B295" s="2">
        <v>45798</v>
      </c>
      <c r="C295" s="2" t="str">
        <f>TEXT(tblBelgaumOrders[[#This Row],[Order_Date]],"mmm")</f>
        <v>May</v>
      </c>
      <c r="D295" t="s">
        <v>20</v>
      </c>
      <c r="E295" t="s">
        <v>14</v>
      </c>
      <c r="F295" t="s">
        <v>3</v>
      </c>
      <c r="G295" t="s">
        <v>4</v>
      </c>
      <c r="H295" t="s">
        <v>63</v>
      </c>
      <c r="I295" t="s">
        <v>11</v>
      </c>
      <c r="J295">
        <v>18</v>
      </c>
      <c r="K295" s="3">
        <v>5266.7</v>
      </c>
      <c r="L295" s="3">
        <f>tblBelgaumOrders[[#This Row],[Quantity]]*tblBelgaumOrders[[#This Row],[Order_Amount]]</f>
        <v>94800.599999999991</v>
      </c>
    </row>
    <row r="296" spans="1:12" x14ac:dyDescent="0.3">
      <c r="A296" t="s">
        <v>337</v>
      </c>
      <c r="B296" s="2">
        <v>45777</v>
      </c>
      <c r="C296" s="2" t="str">
        <f>TEXT(tblBelgaumOrders[[#This Row],[Order_Date]],"mmm")</f>
        <v>Apr</v>
      </c>
      <c r="D296" t="s">
        <v>79</v>
      </c>
      <c r="E296" t="s">
        <v>14</v>
      </c>
      <c r="F296" t="s">
        <v>40</v>
      </c>
      <c r="G296" t="s">
        <v>4</v>
      </c>
      <c r="H296" t="s">
        <v>10</v>
      </c>
      <c r="I296" t="s">
        <v>11</v>
      </c>
      <c r="J296">
        <v>13</v>
      </c>
      <c r="K296" s="3">
        <v>2208.27</v>
      </c>
      <c r="L296" s="3">
        <f>tblBelgaumOrders[[#This Row],[Quantity]]*tblBelgaumOrders[[#This Row],[Order_Amount]]</f>
        <v>28707.51</v>
      </c>
    </row>
    <row r="297" spans="1:12" x14ac:dyDescent="0.3">
      <c r="A297" t="s">
        <v>338</v>
      </c>
      <c r="B297" s="2">
        <v>45885</v>
      </c>
      <c r="C297" s="2" t="str">
        <f>TEXT(tblBelgaumOrders[[#This Row],[Order_Date]],"mmm")</f>
        <v>Aug</v>
      </c>
      <c r="D297" t="s">
        <v>67</v>
      </c>
      <c r="E297" t="s">
        <v>2</v>
      </c>
      <c r="F297" t="s">
        <v>51</v>
      </c>
      <c r="G297" t="s">
        <v>4</v>
      </c>
      <c r="H297" t="s">
        <v>5</v>
      </c>
      <c r="I297" t="s">
        <v>6</v>
      </c>
      <c r="J297">
        <v>8</v>
      </c>
      <c r="K297" s="3">
        <v>11411.96</v>
      </c>
      <c r="L297" s="3">
        <f>tblBelgaumOrders[[#This Row],[Quantity]]*tblBelgaumOrders[[#This Row],[Order_Amount]]</f>
        <v>91295.679999999993</v>
      </c>
    </row>
    <row r="298" spans="1:12" x14ac:dyDescent="0.3">
      <c r="A298" t="s">
        <v>339</v>
      </c>
      <c r="B298" s="2">
        <v>45710</v>
      </c>
      <c r="C298" s="2" t="str">
        <f>TEXT(tblBelgaumOrders[[#This Row],[Order_Date]],"mmm")</f>
        <v>Feb</v>
      </c>
      <c r="D298" t="s">
        <v>1</v>
      </c>
      <c r="E298" t="s">
        <v>2</v>
      </c>
      <c r="F298" t="s">
        <v>73</v>
      </c>
      <c r="G298" t="s">
        <v>4</v>
      </c>
      <c r="H298" t="s">
        <v>5</v>
      </c>
      <c r="I298" t="s">
        <v>18</v>
      </c>
      <c r="J298">
        <v>3</v>
      </c>
      <c r="K298" s="3">
        <v>1430.03</v>
      </c>
      <c r="L298" s="3">
        <f>tblBelgaumOrders[[#This Row],[Quantity]]*tblBelgaumOrders[[#This Row],[Order_Amount]]</f>
        <v>4290.09</v>
      </c>
    </row>
    <row r="299" spans="1:12" x14ac:dyDescent="0.3">
      <c r="A299" t="s">
        <v>340</v>
      </c>
      <c r="B299" s="2">
        <v>46004</v>
      </c>
      <c r="C299" s="2" t="str">
        <f>TEXT(tblBelgaumOrders[[#This Row],[Order_Date]],"mmm")</f>
        <v>Dec</v>
      </c>
      <c r="D299" t="s">
        <v>75</v>
      </c>
      <c r="E299" t="s">
        <v>2</v>
      </c>
      <c r="F299" t="s">
        <v>37</v>
      </c>
      <c r="G299" t="s">
        <v>4</v>
      </c>
      <c r="H299" t="s">
        <v>10</v>
      </c>
      <c r="I299" t="s">
        <v>11</v>
      </c>
      <c r="J299">
        <v>4</v>
      </c>
      <c r="K299" s="3">
        <v>991.63</v>
      </c>
      <c r="L299" s="3">
        <f>tblBelgaumOrders[[#This Row],[Quantity]]*tblBelgaumOrders[[#This Row],[Order_Amount]]</f>
        <v>3966.52</v>
      </c>
    </row>
    <row r="300" spans="1:12" x14ac:dyDescent="0.3">
      <c r="A300" t="s">
        <v>341</v>
      </c>
      <c r="B300" s="2">
        <v>45735</v>
      </c>
      <c r="C300" s="2" t="str">
        <f>TEXT(tblBelgaumOrders[[#This Row],[Order_Date]],"mmm")</f>
        <v>Mar</v>
      </c>
      <c r="D300" t="s">
        <v>79</v>
      </c>
      <c r="E300" t="s">
        <v>2</v>
      </c>
      <c r="F300" t="s">
        <v>77</v>
      </c>
      <c r="G300" t="s">
        <v>4</v>
      </c>
      <c r="H300" t="s">
        <v>5</v>
      </c>
      <c r="I300" t="s">
        <v>11</v>
      </c>
      <c r="J300">
        <v>2</v>
      </c>
      <c r="K300" s="3">
        <v>2097.11</v>
      </c>
      <c r="L300" s="3">
        <f>tblBelgaumOrders[[#This Row],[Quantity]]*tblBelgaumOrders[[#This Row],[Order_Amount]]</f>
        <v>4194.22</v>
      </c>
    </row>
    <row r="301" spans="1:12" x14ac:dyDescent="0.3">
      <c r="A301" t="s">
        <v>342</v>
      </c>
      <c r="B301" s="2">
        <v>45854</v>
      </c>
      <c r="C301" s="2" t="str">
        <f>TEXT(tblBelgaumOrders[[#This Row],[Order_Date]],"mmm")</f>
        <v>Jul</v>
      </c>
      <c r="D301" t="s">
        <v>34</v>
      </c>
      <c r="E301" t="s">
        <v>24</v>
      </c>
      <c r="F301" t="s">
        <v>3</v>
      </c>
      <c r="G301" t="s">
        <v>4</v>
      </c>
      <c r="H301" t="s">
        <v>10</v>
      </c>
      <c r="I301" t="s">
        <v>11</v>
      </c>
      <c r="J301">
        <v>12</v>
      </c>
      <c r="K301" s="3">
        <v>4381.53</v>
      </c>
      <c r="L301" s="3">
        <f>tblBelgaumOrders[[#This Row],[Quantity]]*tblBelgaumOrders[[#This Row],[Order_Amount]]</f>
        <v>52578.36</v>
      </c>
    </row>
    <row r="302" spans="1:12" x14ac:dyDescent="0.3">
      <c r="A302" t="s">
        <v>343</v>
      </c>
      <c r="B302" s="2">
        <v>45995</v>
      </c>
      <c r="C302" s="2" t="str">
        <f>TEXT(tblBelgaumOrders[[#This Row],[Order_Date]],"mmm")</f>
        <v>Dec</v>
      </c>
      <c r="D302" t="s">
        <v>23</v>
      </c>
      <c r="E302" t="s">
        <v>2</v>
      </c>
      <c r="F302" t="s">
        <v>37</v>
      </c>
      <c r="G302" t="s">
        <v>4</v>
      </c>
      <c r="H302" t="s">
        <v>10</v>
      </c>
      <c r="I302" t="s">
        <v>6</v>
      </c>
      <c r="J302">
        <v>4</v>
      </c>
      <c r="K302" s="3">
        <v>921.3</v>
      </c>
      <c r="L302" s="3">
        <f>tblBelgaumOrders[[#This Row],[Quantity]]*tblBelgaumOrders[[#This Row],[Order_Amount]]</f>
        <v>3685.2</v>
      </c>
    </row>
    <row r="303" spans="1:12" x14ac:dyDescent="0.3">
      <c r="A303" t="s">
        <v>344</v>
      </c>
      <c r="B303" s="2">
        <v>45715</v>
      </c>
      <c r="C303" s="2" t="str">
        <f>TEXT(tblBelgaumOrders[[#This Row],[Order_Date]],"mmm")</f>
        <v>Feb</v>
      </c>
      <c r="D303" t="s">
        <v>50</v>
      </c>
      <c r="E303" t="s">
        <v>2</v>
      </c>
      <c r="F303" t="s">
        <v>37</v>
      </c>
      <c r="G303" t="s">
        <v>4</v>
      </c>
      <c r="H303" t="s">
        <v>63</v>
      </c>
      <c r="I303" t="s">
        <v>82</v>
      </c>
      <c r="J303">
        <v>6</v>
      </c>
      <c r="K303" s="3">
        <v>1094.53</v>
      </c>
      <c r="L303" s="3">
        <f>tblBelgaumOrders[[#This Row],[Quantity]]*tblBelgaumOrders[[#This Row],[Order_Amount]]</f>
        <v>6567.18</v>
      </c>
    </row>
    <row r="304" spans="1:12" x14ac:dyDescent="0.3">
      <c r="A304" t="s">
        <v>345</v>
      </c>
      <c r="B304" s="2">
        <v>45949</v>
      </c>
      <c r="C304" s="2" t="str">
        <f>TEXT(tblBelgaumOrders[[#This Row],[Order_Date]],"mmm")</f>
        <v>Oct</v>
      </c>
      <c r="D304" t="s">
        <v>79</v>
      </c>
      <c r="E304" t="s">
        <v>2</v>
      </c>
      <c r="F304" t="s">
        <v>26</v>
      </c>
      <c r="G304" t="s">
        <v>15</v>
      </c>
      <c r="H304" t="s">
        <v>63</v>
      </c>
      <c r="I304" t="s">
        <v>18</v>
      </c>
      <c r="J304">
        <v>1</v>
      </c>
      <c r="K304" s="3">
        <v>595.30999999999995</v>
      </c>
      <c r="L304" s="3">
        <f>tblBelgaumOrders[[#This Row],[Quantity]]*tblBelgaumOrders[[#This Row],[Order_Amount]]</f>
        <v>595.30999999999995</v>
      </c>
    </row>
    <row r="305" spans="1:12" x14ac:dyDescent="0.3">
      <c r="A305" t="s">
        <v>346</v>
      </c>
      <c r="B305" s="2">
        <v>45665</v>
      </c>
      <c r="C305" s="2" t="str">
        <f>TEXT(tblBelgaumOrders[[#This Row],[Order_Date]],"mmm")</f>
        <v>Jan</v>
      </c>
      <c r="D305" t="s">
        <v>13</v>
      </c>
      <c r="E305" t="s">
        <v>2</v>
      </c>
      <c r="F305" t="s">
        <v>73</v>
      </c>
      <c r="G305" t="s">
        <v>30</v>
      </c>
      <c r="H305" t="s">
        <v>10</v>
      </c>
      <c r="I305" t="s">
        <v>11</v>
      </c>
      <c r="J305">
        <v>9</v>
      </c>
      <c r="K305" s="3">
        <v>4574.8100000000004</v>
      </c>
      <c r="L305" s="3">
        <f>tblBelgaumOrders[[#This Row],[Quantity]]*tblBelgaumOrders[[#This Row],[Order_Amount]]</f>
        <v>41173.29</v>
      </c>
    </row>
    <row r="306" spans="1:12" x14ac:dyDescent="0.3">
      <c r="A306" t="s">
        <v>347</v>
      </c>
      <c r="B306" s="2">
        <v>45874</v>
      </c>
      <c r="C306" s="2" t="str">
        <f>TEXT(tblBelgaumOrders[[#This Row],[Order_Date]],"mmm")</f>
        <v>Aug</v>
      </c>
      <c r="D306" t="s">
        <v>29</v>
      </c>
      <c r="E306" t="s">
        <v>2</v>
      </c>
      <c r="F306" t="s">
        <v>37</v>
      </c>
      <c r="G306" t="s">
        <v>4</v>
      </c>
      <c r="H306" t="s">
        <v>10</v>
      </c>
      <c r="I306" t="s">
        <v>11</v>
      </c>
      <c r="J306">
        <v>9</v>
      </c>
      <c r="K306" s="3">
        <v>2579.06</v>
      </c>
      <c r="L306" s="3">
        <f>tblBelgaumOrders[[#This Row],[Quantity]]*tblBelgaumOrders[[#This Row],[Order_Amount]]</f>
        <v>23211.54</v>
      </c>
    </row>
    <row r="307" spans="1:12" x14ac:dyDescent="0.3">
      <c r="A307" t="s">
        <v>348</v>
      </c>
      <c r="B307" s="2">
        <v>45737</v>
      </c>
      <c r="C307" s="2" t="str">
        <f>TEXT(tblBelgaumOrders[[#This Row],[Order_Date]],"mmm")</f>
        <v>Mar</v>
      </c>
      <c r="D307" t="s">
        <v>39</v>
      </c>
      <c r="E307" t="s">
        <v>2</v>
      </c>
      <c r="F307" t="s">
        <v>37</v>
      </c>
      <c r="G307" t="s">
        <v>15</v>
      </c>
      <c r="H307" t="s">
        <v>5</v>
      </c>
      <c r="I307" t="s">
        <v>6</v>
      </c>
      <c r="J307">
        <v>5</v>
      </c>
      <c r="K307" s="3">
        <v>1286.1300000000001</v>
      </c>
      <c r="L307" s="3">
        <f>tblBelgaumOrders[[#This Row],[Quantity]]*tblBelgaumOrders[[#This Row],[Order_Amount]]</f>
        <v>6430.6500000000005</v>
      </c>
    </row>
    <row r="308" spans="1:12" x14ac:dyDescent="0.3">
      <c r="A308" t="s">
        <v>349</v>
      </c>
      <c r="B308" s="2">
        <v>45780</v>
      </c>
      <c r="C308" s="2" t="str">
        <f>TEXT(tblBelgaumOrders[[#This Row],[Order_Date]],"mmm")</f>
        <v>May</v>
      </c>
      <c r="D308" t="s">
        <v>8</v>
      </c>
      <c r="E308" t="s">
        <v>2</v>
      </c>
      <c r="F308" t="s">
        <v>73</v>
      </c>
      <c r="G308" t="s">
        <v>4</v>
      </c>
      <c r="H308" t="s">
        <v>5</v>
      </c>
      <c r="I308" t="s">
        <v>11</v>
      </c>
      <c r="J308">
        <v>3</v>
      </c>
      <c r="K308" s="3">
        <v>1035.3</v>
      </c>
      <c r="L308" s="3">
        <f>tblBelgaumOrders[[#This Row],[Quantity]]*tblBelgaumOrders[[#This Row],[Order_Amount]]</f>
        <v>3105.8999999999996</v>
      </c>
    </row>
    <row r="309" spans="1:12" x14ac:dyDescent="0.3">
      <c r="A309" t="s">
        <v>350</v>
      </c>
      <c r="B309" s="2">
        <v>45728</v>
      </c>
      <c r="C309" s="2" t="str">
        <f>TEXT(tblBelgaumOrders[[#This Row],[Order_Date]],"mmm")</f>
        <v>Mar</v>
      </c>
      <c r="D309" t="s">
        <v>67</v>
      </c>
      <c r="E309" t="s">
        <v>2</v>
      </c>
      <c r="F309" t="s">
        <v>35</v>
      </c>
      <c r="G309" t="s">
        <v>4</v>
      </c>
      <c r="H309" t="s">
        <v>5</v>
      </c>
      <c r="I309" t="s">
        <v>18</v>
      </c>
      <c r="J309">
        <v>3</v>
      </c>
      <c r="K309" s="3">
        <v>9341.9699999999993</v>
      </c>
      <c r="L309" s="3">
        <f>tblBelgaumOrders[[#This Row],[Quantity]]*tblBelgaumOrders[[#This Row],[Order_Amount]]</f>
        <v>28025.909999999996</v>
      </c>
    </row>
    <row r="310" spans="1:12" x14ac:dyDescent="0.3">
      <c r="A310" t="s">
        <v>351</v>
      </c>
      <c r="B310" s="2">
        <v>45795</v>
      </c>
      <c r="C310" s="2" t="str">
        <f>TEXT(tblBelgaumOrders[[#This Row],[Order_Date]],"mmm")</f>
        <v>May</v>
      </c>
      <c r="D310" t="s">
        <v>1</v>
      </c>
      <c r="E310" t="s">
        <v>14</v>
      </c>
      <c r="F310" t="s">
        <v>9</v>
      </c>
      <c r="G310" t="s">
        <v>15</v>
      </c>
      <c r="H310" t="s">
        <v>10</v>
      </c>
      <c r="I310" t="s">
        <v>11</v>
      </c>
      <c r="J310">
        <v>24</v>
      </c>
      <c r="K310" s="3">
        <v>4866.57</v>
      </c>
      <c r="L310" s="3">
        <f>tblBelgaumOrders[[#This Row],[Quantity]]*tblBelgaumOrders[[#This Row],[Order_Amount]]</f>
        <v>116797.68</v>
      </c>
    </row>
    <row r="311" spans="1:12" x14ac:dyDescent="0.3">
      <c r="A311" t="s">
        <v>352</v>
      </c>
      <c r="B311" s="2">
        <v>45912</v>
      </c>
      <c r="C311" s="2" t="str">
        <f>TEXT(tblBelgaumOrders[[#This Row],[Order_Date]],"mmm")</f>
        <v>Sep</v>
      </c>
      <c r="D311" t="s">
        <v>32</v>
      </c>
      <c r="E311" t="s">
        <v>2</v>
      </c>
      <c r="F311" t="s">
        <v>9</v>
      </c>
      <c r="G311" t="s">
        <v>17</v>
      </c>
      <c r="H311" t="s">
        <v>10</v>
      </c>
      <c r="I311" t="s">
        <v>11</v>
      </c>
      <c r="J311">
        <v>2</v>
      </c>
      <c r="K311" s="3">
        <v>0</v>
      </c>
      <c r="L311" s="3">
        <f>tblBelgaumOrders[[#This Row],[Quantity]]*tblBelgaumOrders[[#This Row],[Order_Amount]]</f>
        <v>0</v>
      </c>
    </row>
    <row r="312" spans="1:12" x14ac:dyDescent="0.3">
      <c r="A312" t="s">
        <v>353</v>
      </c>
      <c r="B312" s="2">
        <v>46003</v>
      </c>
      <c r="C312" s="2" t="str">
        <f>TEXT(tblBelgaumOrders[[#This Row],[Order_Date]],"mmm")</f>
        <v>Dec</v>
      </c>
      <c r="D312" t="s">
        <v>1</v>
      </c>
      <c r="E312" t="s">
        <v>2</v>
      </c>
      <c r="F312" t="s">
        <v>37</v>
      </c>
      <c r="G312" t="s">
        <v>4</v>
      </c>
      <c r="H312" t="s">
        <v>5</v>
      </c>
      <c r="I312" t="s">
        <v>11</v>
      </c>
      <c r="J312">
        <v>8</v>
      </c>
      <c r="K312" s="3">
        <v>1704.36</v>
      </c>
      <c r="L312" s="3">
        <f>tblBelgaumOrders[[#This Row],[Quantity]]*tblBelgaumOrders[[#This Row],[Order_Amount]]</f>
        <v>13634.88</v>
      </c>
    </row>
    <row r="313" spans="1:12" x14ac:dyDescent="0.3">
      <c r="A313" t="s">
        <v>354</v>
      </c>
      <c r="B313" s="2">
        <v>45734</v>
      </c>
      <c r="C313" s="2" t="str">
        <f>TEXT(tblBelgaumOrders[[#This Row],[Order_Date]],"mmm")</f>
        <v>Mar</v>
      </c>
      <c r="D313" t="s">
        <v>58</v>
      </c>
      <c r="E313" t="s">
        <v>24</v>
      </c>
      <c r="F313" t="s">
        <v>21</v>
      </c>
      <c r="G313" t="s">
        <v>4</v>
      </c>
      <c r="H313" t="s">
        <v>63</v>
      </c>
      <c r="I313" t="s">
        <v>18</v>
      </c>
      <c r="J313">
        <v>16</v>
      </c>
      <c r="K313" s="3">
        <v>1846.83</v>
      </c>
      <c r="L313" s="3">
        <f>tblBelgaumOrders[[#This Row],[Quantity]]*tblBelgaumOrders[[#This Row],[Order_Amount]]</f>
        <v>29549.279999999999</v>
      </c>
    </row>
    <row r="314" spans="1:12" x14ac:dyDescent="0.3">
      <c r="A314" t="s">
        <v>355</v>
      </c>
      <c r="B314" s="2">
        <v>45821</v>
      </c>
      <c r="C314" s="2" t="str">
        <f>TEXT(tblBelgaumOrders[[#This Row],[Order_Date]],"mmm")</f>
        <v>Jun</v>
      </c>
      <c r="D314" t="s">
        <v>13</v>
      </c>
      <c r="E314" t="s">
        <v>14</v>
      </c>
      <c r="F314" t="s">
        <v>37</v>
      </c>
      <c r="G314" t="s">
        <v>4</v>
      </c>
      <c r="H314" t="s">
        <v>5</v>
      </c>
      <c r="I314" t="s">
        <v>11</v>
      </c>
      <c r="J314">
        <v>13</v>
      </c>
      <c r="K314" s="3">
        <v>3525.24</v>
      </c>
      <c r="L314" s="3">
        <f>tblBelgaumOrders[[#This Row],[Quantity]]*tblBelgaumOrders[[#This Row],[Order_Amount]]</f>
        <v>45828.119999999995</v>
      </c>
    </row>
    <row r="315" spans="1:12" x14ac:dyDescent="0.3">
      <c r="A315" t="s">
        <v>356</v>
      </c>
      <c r="B315" s="2">
        <v>45681</v>
      </c>
      <c r="C315" s="2" t="str">
        <f>TEXT(tblBelgaumOrders[[#This Row],[Order_Date]],"mmm")</f>
        <v>Jan</v>
      </c>
      <c r="D315" t="s">
        <v>29</v>
      </c>
      <c r="E315" t="s">
        <v>2</v>
      </c>
      <c r="F315" t="s">
        <v>77</v>
      </c>
      <c r="G315" t="s">
        <v>4</v>
      </c>
      <c r="H315" t="s">
        <v>5</v>
      </c>
      <c r="I315" t="s">
        <v>11</v>
      </c>
      <c r="J315">
        <v>9</v>
      </c>
      <c r="K315" s="3">
        <v>8755.61</v>
      </c>
      <c r="L315" s="3">
        <f>tblBelgaumOrders[[#This Row],[Quantity]]*tblBelgaumOrders[[#This Row],[Order_Amount]]</f>
        <v>78800.490000000005</v>
      </c>
    </row>
    <row r="316" spans="1:12" x14ac:dyDescent="0.3">
      <c r="A316" t="s">
        <v>357</v>
      </c>
      <c r="B316" s="2">
        <v>45846</v>
      </c>
      <c r="C316" s="2" t="str">
        <f>TEXT(tblBelgaumOrders[[#This Row],[Order_Date]],"mmm")</f>
        <v>Jul</v>
      </c>
      <c r="D316" t="s">
        <v>48</v>
      </c>
      <c r="E316" t="s">
        <v>2</v>
      </c>
      <c r="F316" t="s">
        <v>40</v>
      </c>
      <c r="G316" t="s">
        <v>15</v>
      </c>
      <c r="H316" t="s">
        <v>10</v>
      </c>
      <c r="I316" t="s">
        <v>11</v>
      </c>
      <c r="J316">
        <v>8</v>
      </c>
      <c r="K316" s="3">
        <v>1726.3</v>
      </c>
      <c r="L316" s="3">
        <f>tblBelgaumOrders[[#This Row],[Quantity]]*tblBelgaumOrders[[#This Row],[Order_Amount]]</f>
        <v>13810.4</v>
      </c>
    </row>
    <row r="317" spans="1:12" x14ac:dyDescent="0.3">
      <c r="A317" t="s">
        <v>358</v>
      </c>
      <c r="B317" s="2">
        <v>45758</v>
      </c>
      <c r="C317" s="2" t="str">
        <f>TEXT(tblBelgaumOrders[[#This Row],[Order_Date]],"mmm")</f>
        <v>Apr</v>
      </c>
      <c r="D317" t="s">
        <v>39</v>
      </c>
      <c r="E317" t="s">
        <v>14</v>
      </c>
      <c r="F317" t="s">
        <v>3</v>
      </c>
      <c r="G317" t="s">
        <v>4</v>
      </c>
      <c r="H317" t="s">
        <v>10</v>
      </c>
      <c r="I317" t="s">
        <v>11</v>
      </c>
      <c r="J317">
        <v>17</v>
      </c>
      <c r="K317" s="3">
        <v>5001.5200000000004</v>
      </c>
      <c r="L317" s="3">
        <f>tblBelgaumOrders[[#This Row],[Quantity]]*tblBelgaumOrders[[#This Row],[Order_Amount]]</f>
        <v>85025.840000000011</v>
      </c>
    </row>
    <row r="318" spans="1:12" x14ac:dyDescent="0.3">
      <c r="A318" t="s">
        <v>359</v>
      </c>
      <c r="B318" s="2">
        <v>45662</v>
      </c>
      <c r="C318" s="2" t="str">
        <f>TEXT(tblBelgaumOrders[[#This Row],[Order_Date]],"mmm")</f>
        <v>Jan</v>
      </c>
      <c r="D318" t="s">
        <v>53</v>
      </c>
      <c r="E318" t="s">
        <v>2</v>
      </c>
      <c r="F318" t="s">
        <v>26</v>
      </c>
      <c r="G318" t="s">
        <v>17</v>
      </c>
      <c r="H318" t="s">
        <v>5</v>
      </c>
      <c r="I318" t="s">
        <v>11</v>
      </c>
      <c r="J318">
        <v>9</v>
      </c>
      <c r="K318" s="3">
        <v>0</v>
      </c>
      <c r="L318" s="3">
        <f>tblBelgaumOrders[[#This Row],[Quantity]]*tblBelgaumOrders[[#This Row],[Order_Amount]]</f>
        <v>0</v>
      </c>
    </row>
    <row r="319" spans="1:12" x14ac:dyDescent="0.3">
      <c r="A319" t="s">
        <v>360</v>
      </c>
      <c r="B319" s="2">
        <v>45872</v>
      </c>
      <c r="C319" s="2" t="str">
        <f>TEXT(tblBelgaumOrders[[#This Row],[Order_Date]],"mmm")</f>
        <v>Aug</v>
      </c>
      <c r="D319" t="s">
        <v>55</v>
      </c>
      <c r="E319" t="s">
        <v>24</v>
      </c>
      <c r="F319" t="s">
        <v>35</v>
      </c>
      <c r="G319" t="s">
        <v>4</v>
      </c>
      <c r="H319" t="s">
        <v>10</v>
      </c>
      <c r="I319" t="s">
        <v>11</v>
      </c>
      <c r="J319">
        <v>10</v>
      </c>
      <c r="K319" s="3">
        <v>46503.6</v>
      </c>
      <c r="L319" s="3">
        <f>tblBelgaumOrders[[#This Row],[Quantity]]*tblBelgaumOrders[[#This Row],[Order_Amount]]</f>
        <v>465036</v>
      </c>
    </row>
    <row r="320" spans="1:12" x14ac:dyDescent="0.3">
      <c r="A320" t="s">
        <v>361</v>
      </c>
      <c r="B320" s="2">
        <v>45848</v>
      </c>
      <c r="C320" s="2" t="str">
        <f>TEXT(tblBelgaumOrders[[#This Row],[Order_Date]],"mmm")</f>
        <v>Jul</v>
      </c>
      <c r="D320" t="s">
        <v>32</v>
      </c>
      <c r="E320" t="s">
        <v>24</v>
      </c>
      <c r="F320" t="s">
        <v>9</v>
      </c>
      <c r="G320" t="s">
        <v>4</v>
      </c>
      <c r="H320" t="s">
        <v>10</v>
      </c>
      <c r="I320" t="s">
        <v>18</v>
      </c>
      <c r="J320">
        <v>5</v>
      </c>
      <c r="K320" s="3">
        <v>1053.6500000000001</v>
      </c>
      <c r="L320" s="3">
        <f>tblBelgaumOrders[[#This Row],[Quantity]]*tblBelgaumOrders[[#This Row],[Order_Amount]]</f>
        <v>5268.25</v>
      </c>
    </row>
    <row r="321" spans="1:12" x14ac:dyDescent="0.3">
      <c r="A321" t="s">
        <v>362</v>
      </c>
      <c r="B321" s="2">
        <v>45997</v>
      </c>
      <c r="C321" s="2" t="str">
        <f>TEXT(tblBelgaumOrders[[#This Row],[Order_Date]],"mmm")</f>
        <v>Dec</v>
      </c>
      <c r="D321" t="s">
        <v>75</v>
      </c>
      <c r="E321" t="s">
        <v>2</v>
      </c>
      <c r="F321" t="s">
        <v>3</v>
      </c>
      <c r="G321" t="s">
        <v>4</v>
      </c>
      <c r="H321" t="s">
        <v>5</v>
      </c>
      <c r="I321" t="s">
        <v>6</v>
      </c>
      <c r="J321">
        <v>6</v>
      </c>
      <c r="K321" s="3">
        <v>1467.7</v>
      </c>
      <c r="L321" s="3">
        <f>tblBelgaumOrders[[#This Row],[Quantity]]*tblBelgaumOrders[[#This Row],[Order_Amount]]</f>
        <v>8806.2000000000007</v>
      </c>
    </row>
    <row r="322" spans="1:12" x14ac:dyDescent="0.3">
      <c r="A322" t="s">
        <v>363</v>
      </c>
      <c r="B322" s="2">
        <v>45797</v>
      </c>
      <c r="C322" s="2" t="str">
        <f>TEXT(tblBelgaumOrders[[#This Row],[Order_Date]],"mmm")</f>
        <v>May</v>
      </c>
      <c r="D322" t="s">
        <v>50</v>
      </c>
      <c r="E322" t="s">
        <v>2</v>
      </c>
      <c r="F322" t="s">
        <v>9</v>
      </c>
      <c r="G322" t="s">
        <v>15</v>
      </c>
      <c r="H322" t="s">
        <v>5</v>
      </c>
      <c r="I322" t="s">
        <v>11</v>
      </c>
      <c r="J322">
        <v>3</v>
      </c>
      <c r="K322" s="3">
        <v>550.66</v>
      </c>
      <c r="L322" s="3">
        <f>tblBelgaumOrders[[#This Row],[Quantity]]*tblBelgaumOrders[[#This Row],[Order_Amount]]</f>
        <v>1651.98</v>
      </c>
    </row>
    <row r="323" spans="1:12" x14ac:dyDescent="0.3">
      <c r="A323" t="s">
        <v>364</v>
      </c>
      <c r="B323" s="2">
        <v>45818</v>
      </c>
      <c r="C323" s="2" t="str">
        <f>TEXT(tblBelgaumOrders[[#This Row],[Order_Date]],"mmm")</f>
        <v>Jun</v>
      </c>
      <c r="D323" t="s">
        <v>79</v>
      </c>
      <c r="E323" t="s">
        <v>2</v>
      </c>
      <c r="F323" t="s">
        <v>51</v>
      </c>
      <c r="G323" t="s">
        <v>15</v>
      </c>
      <c r="H323" t="s">
        <v>10</v>
      </c>
      <c r="I323" t="s">
        <v>6</v>
      </c>
      <c r="J323">
        <v>2</v>
      </c>
      <c r="K323" s="3">
        <v>2895.31</v>
      </c>
      <c r="L323" s="3">
        <f>tblBelgaumOrders[[#This Row],[Quantity]]*tblBelgaumOrders[[#This Row],[Order_Amount]]</f>
        <v>5790.62</v>
      </c>
    </row>
    <row r="324" spans="1:12" x14ac:dyDescent="0.3">
      <c r="A324" t="s">
        <v>365</v>
      </c>
      <c r="B324" s="2">
        <v>45813</v>
      </c>
      <c r="C324" s="2" t="str">
        <f>TEXT(tblBelgaumOrders[[#This Row],[Order_Date]],"mmm")</f>
        <v>Jun</v>
      </c>
      <c r="D324" t="s">
        <v>8</v>
      </c>
      <c r="E324" t="s">
        <v>2</v>
      </c>
      <c r="F324" t="s">
        <v>21</v>
      </c>
      <c r="G324" t="s">
        <v>4</v>
      </c>
      <c r="H324" t="s">
        <v>5</v>
      </c>
      <c r="I324" t="s">
        <v>82</v>
      </c>
      <c r="J324">
        <v>7</v>
      </c>
      <c r="K324" s="3">
        <v>888.78</v>
      </c>
      <c r="L324" s="3">
        <f>tblBelgaumOrders[[#This Row],[Quantity]]*tblBelgaumOrders[[#This Row],[Order_Amount]]</f>
        <v>6221.46</v>
      </c>
    </row>
    <row r="325" spans="1:12" x14ac:dyDescent="0.3">
      <c r="A325" t="s">
        <v>366</v>
      </c>
      <c r="B325" s="2">
        <v>46004</v>
      </c>
      <c r="C325" s="2" t="str">
        <f>TEXT(tblBelgaumOrders[[#This Row],[Order_Date]],"mmm")</f>
        <v>Dec</v>
      </c>
      <c r="D325" t="s">
        <v>23</v>
      </c>
      <c r="E325" t="s">
        <v>2</v>
      </c>
      <c r="F325" t="s">
        <v>35</v>
      </c>
      <c r="G325" t="s">
        <v>4</v>
      </c>
      <c r="H325" t="s">
        <v>10</v>
      </c>
      <c r="I325" t="s">
        <v>11</v>
      </c>
      <c r="J325">
        <v>9</v>
      </c>
      <c r="K325" s="3">
        <v>25917.45</v>
      </c>
      <c r="L325" s="3">
        <f>tblBelgaumOrders[[#This Row],[Quantity]]*tblBelgaumOrders[[#This Row],[Order_Amount]]</f>
        <v>233257.05000000002</v>
      </c>
    </row>
    <row r="326" spans="1:12" x14ac:dyDescent="0.3">
      <c r="A326" t="s">
        <v>367</v>
      </c>
      <c r="B326" s="2">
        <v>45729</v>
      </c>
      <c r="C326" s="2" t="str">
        <f>TEXT(tblBelgaumOrders[[#This Row],[Order_Date]],"mmm")</f>
        <v>Mar</v>
      </c>
      <c r="D326" t="s">
        <v>1</v>
      </c>
      <c r="E326" t="s">
        <v>2</v>
      </c>
      <c r="F326" t="s">
        <v>21</v>
      </c>
      <c r="G326" t="s">
        <v>30</v>
      </c>
      <c r="H326" t="s">
        <v>10</v>
      </c>
      <c r="I326" t="s">
        <v>18</v>
      </c>
      <c r="J326">
        <v>6</v>
      </c>
      <c r="K326" s="3">
        <v>836.48</v>
      </c>
      <c r="L326" s="3">
        <f>tblBelgaumOrders[[#This Row],[Quantity]]*tblBelgaumOrders[[#This Row],[Order_Amount]]</f>
        <v>5018.88</v>
      </c>
    </row>
    <row r="327" spans="1:12" x14ac:dyDescent="0.3">
      <c r="A327" t="s">
        <v>368</v>
      </c>
      <c r="B327" s="2">
        <v>45988</v>
      </c>
      <c r="C327" s="2" t="str">
        <f>TEXT(tblBelgaumOrders[[#This Row],[Order_Date]],"mmm")</f>
        <v>Nov</v>
      </c>
      <c r="D327" t="s">
        <v>20</v>
      </c>
      <c r="E327" t="s">
        <v>2</v>
      </c>
      <c r="F327" t="s">
        <v>3</v>
      </c>
      <c r="G327" t="s">
        <v>15</v>
      </c>
      <c r="H327" t="s">
        <v>10</v>
      </c>
      <c r="I327" t="s">
        <v>11</v>
      </c>
      <c r="J327">
        <v>8</v>
      </c>
      <c r="K327" s="3">
        <v>2570</v>
      </c>
      <c r="L327" s="3">
        <f>tblBelgaumOrders[[#This Row],[Quantity]]*tblBelgaumOrders[[#This Row],[Order_Amount]]</f>
        <v>20560</v>
      </c>
    </row>
    <row r="328" spans="1:12" x14ac:dyDescent="0.3">
      <c r="A328" t="s">
        <v>369</v>
      </c>
      <c r="B328" s="2">
        <v>45705</v>
      </c>
      <c r="C328" s="2" t="str">
        <f>TEXT(tblBelgaumOrders[[#This Row],[Order_Date]],"mmm")</f>
        <v>Feb</v>
      </c>
      <c r="D328" t="s">
        <v>53</v>
      </c>
      <c r="E328" t="s">
        <v>2</v>
      </c>
      <c r="F328" t="s">
        <v>35</v>
      </c>
      <c r="G328" t="s">
        <v>4</v>
      </c>
      <c r="H328" t="s">
        <v>63</v>
      </c>
      <c r="I328" t="s">
        <v>11</v>
      </c>
      <c r="J328">
        <v>7</v>
      </c>
      <c r="K328" s="3">
        <v>23467.94</v>
      </c>
      <c r="L328" s="3">
        <f>tblBelgaumOrders[[#This Row],[Quantity]]*tblBelgaumOrders[[#This Row],[Order_Amount]]</f>
        <v>164275.57999999999</v>
      </c>
    </row>
    <row r="329" spans="1:12" x14ac:dyDescent="0.3">
      <c r="A329" t="s">
        <v>370</v>
      </c>
      <c r="B329" s="2">
        <v>45876</v>
      </c>
      <c r="C329" s="2" t="str">
        <f>TEXT(tblBelgaumOrders[[#This Row],[Order_Date]],"mmm")</f>
        <v>Aug</v>
      </c>
      <c r="D329" t="s">
        <v>58</v>
      </c>
      <c r="E329" t="s">
        <v>2</v>
      </c>
      <c r="F329" t="s">
        <v>73</v>
      </c>
      <c r="G329" t="s">
        <v>4</v>
      </c>
      <c r="H329" t="s">
        <v>10</v>
      </c>
      <c r="I329" t="s">
        <v>11</v>
      </c>
      <c r="J329">
        <v>10</v>
      </c>
      <c r="K329" s="3">
        <v>4710.32</v>
      </c>
      <c r="L329" s="3">
        <f>tblBelgaumOrders[[#This Row],[Quantity]]*tblBelgaumOrders[[#This Row],[Order_Amount]]</f>
        <v>47103.199999999997</v>
      </c>
    </row>
    <row r="330" spans="1:12" x14ac:dyDescent="0.3">
      <c r="A330" t="s">
        <v>371</v>
      </c>
      <c r="B330" s="2">
        <v>45783</v>
      </c>
      <c r="C330" s="2" t="str">
        <f>TEXT(tblBelgaumOrders[[#This Row],[Order_Date]],"mmm")</f>
        <v>May</v>
      </c>
      <c r="D330" t="s">
        <v>23</v>
      </c>
      <c r="E330" t="s">
        <v>2</v>
      </c>
      <c r="F330" t="s">
        <v>73</v>
      </c>
      <c r="G330" t="s">
        <v>4</v>
      </c>
      <c r="H330" t="s">
        <v>10</v>
      </c>
      <c r="I330" t="s">
        <v>11</v>
      </c>
      <c r="J330">
        <v>7</v>
      </c>
      <c r="K330" s="3">
        <v>2556.84</v>
      </c>
      <c r="L330" s="3">
        <f>tblBelgaumOrders[[#This Row],[Quantity]]*tblBelgaumOrders[[#This Row],[Order_Amount]]</f>
        <v>17897.88</v>
      </c>
    </row>
    <row r="331" spans="1:12" x14ac:dyDescent="0.3">
      <c r="A331" t="s">
        <v>372</v>
      </c>
      <c r="B331" s="2">
        <v>45927</v>
      </c>
      <c r="C331" s="2" t="str">
        <f>TEXT(tblBelgaumOrders[[#This Row],[Order_Date]],"mmm")</f>
        <v>Sep</v>
      </c>
      <c r="D331" t="s">
        <v>50</v>
      </c>
      <c r="E331" t="s">
        <v>14</v>
      </c>
      <c r="F331" t="s">
        <v>21</v>
      </c>
      <c r="G331" t="s">
        <v>15</v>
      </c>
      <c r="H331" t="s">
        <v>63</v>
      </c>
      <c r="I331" t="s">
        <v>18</v>
      </c>
      <c r="J331">
        <v>17</v>
      </c>
      <c r="K331" s="3">
        <v>2117.13</v>
      </c>
      <c r="L331" s="3">
        <f>tblBelgaumOrders[[#This Row],[Quantity]]*tblBelgaumOrders[[#This Row],[Order_Amount]]</f>
        <v>35991.21</v>
      </c>
    </row>
    <row r="332" spans="1:12" x14ac:dyDescent="0.3">
      <c r="A332" t="s">
        <v>373</v>
      </c>
      <c r="B332" s="2">
        <v>45906</v>
      </c>
      <c r="C332" s="2" t="str">
        <f>TEXT(tblBelgaumOrders[[#This Row],[Order_Date]],"mmm")</f>
        <v>Sep</v>
      </c>
      <c r="D332" t="s">
        <v>34</v>
      </c>
      <c r="E332" t="s">
        <v>24</v>
      </c>
      <c r="F332" t="s">
        <v>37</v>
      </c>
      <c r="G332" t="s">
        <v>4</v>
      </c>
      <c r="H332" t="s">
        <v>10</v>
      </c>
      <c r="I332" t="s">
        <v>11</v>
      </c>
      <c r="J332">
        <v>10</v>
      </c>
      <c r="K332" s="3">
        <v>1978.46</v>
      </c>
      <c r="L332" s="3">
        <f>tblBelgaumOrders[[#This Row],[Quantity]]*tblBelgaumOrders[[#This Row],[Order_Amount]]</f>
        <v>19784.599999999999</v>
      </c>
    </row>
    <row r="333" spans="1:12" x14ac:dyDescent="0.3">
      <c r="A333" t="s">
        <v>374</v>
      </c>
      <c r="B333" s="2">
        <v>45801</v>
      </c>
      <c r="C333" s="2" t="str">
        <f>TEXT(tblBelgaumOrders[[#This Row],[Order_Date]],"mmm")</f>
        <v>May</v>
      </c>
      <c r="D333" t="s">
        <v>8</v>
      </c>
      <c r="E333" t="s">
        <v>14</v>
      </c>
      <c r="F333" t="s">
        <v>77</v>
      </c>
      <c r="G333" t="s">
        <v>4</v>
      </c>
      <c r="H333" t="s">
        <v>5</v>
      </c>
      <c r="I333" t="s">
        <v>11</v>
      </c>
      <c r="J333">
        <v>11</v>
      </c>
      <c r="K333" s="3">
        <v>8465.34</v>
      </c>
      <c r="L333" s="3">
        <f>tblBelgaumOrders[[#This Row],[Quantity]]*tblBelgaumOrders[[#This Row],[Order_Amount]]</f>
        <v>93118.74</v>
      </c>
    </row>
    <row r="334" spans="1:12" x14ac:dyDescent="0.3">
      <c r="A334" t="s">
        <v>375</v>
      </c>
      <c r="B334" s="2">
        <v>45994</v>
      </c>
      <c r="C334" s="2" t="str">
        <f>TEXT(tblBelgaumOrders[[#This Row],[Order_Date]],"mmm")</f>
        <v>Dec</v>
      </c>
      <c r="D334" t="s">
        <v>50</v>
      </c>
      <c r="E334" t="s">
        <v>2</v>
      </c>
      <c r="F334" t="s">
        <v>21</v>
      </c>
      <c r="G334" t="s">
        <v>17</v>
      </c>
      <c r="H334" t="s">
        <v>10</v>
      </c>
      <c r="I334" t="s">
        <v>82</v>
      </c>
      <c r="J334">
        <v>4</v>
      </c>
      <c r="K334" s="3">
        <v>0</v>
      </c>
      <c r="L334" s="3">
        <f>tblBelgaumOrders[[#This Row],[Quantity]]*tblBelgaumOrders[[#This Row],[Order_Amount]]</f>
        <v>0</v>
      </c>
    </row>
    <row r="335" spans="1:12" x14ac:dyDescent="0.3">
      <c r="A335" t="s">
        <v>376</v>
      </c>
      <c r="B335" s="2">
        <v>45856</v>
      </c>
      <c r="C335" s="2" t="str">
        <f>TEXT(tblBelgaumOrders[[#This Row],[Order_Date]],"mmm")</f>
        <v>Jul</v>
      </c>
      <c r="D335" t="s">
        <v>34</v>
      </c>
      <c r="E335" t="s">
        <v>24</v>
      </c>
      <c r="F335" t="s">
        <v>35</v>
      </c>
      <c r="G335" t="s">
        <v>4</v>
      </c>
      <c r="H335" t="s">
        <v>10</v>
      </c>
      <c r="I335" t="s">
        <v>11</v>
      </c>
      <c r="J335">
        <v>14</v>
      </c>
      <c r="K335" s="3">
        <v>61322.28</v>
      </c>
      <c r="L335" s="3">
        <f>tblBelgaumOrders[[#This Row],[Quantity]]*tblBelgaumOrders[[#This Row],[Order_Amount]]</f>
        <v>858511.91999999993</v>
      </c>
    </row>
    <row r="336" spans="1:12" x14ac:dyDescent="0.3">
      <c r="A336" t="s">
        <v>377</v>
      </c>
      <c r="B336" s="2">
        <v>45948</v>
      </c>
      <c r="C336" s="2" t="str">
        <f>TEXT(tblBelgaumOrders[[#This Row],[Order_Date]],"mmm")</f>
        <v>Oct</v>
      </c>
      <c r="D336" t="s">
        <v>75</v>
      </c>
      <c r="E336" t="s">
        <v>2</v>
      </c>
      <c r="F336" t="s">
        <v>9</v>
      </c>
      <c r="G336" t="s">
        <v>30</v>
      </c>
      <c r="H336" t="s">
        <v>5</v>
      </c>
      <c r="I336" t="s">
        <v>6</v>
      </c>
      <c r="J336">
        <v>5</v>
      </c>
      <c r="K336" s="3">
        <v>769.8</v>
      </c>
      <c r="L336" s="3">
        <f>tblBelgaumOrders[[#This Row],[Quantity]]*tblBelgaumOrders[[#This Row],[Order_Amount]]</f>
        <v>3849</v>
      </c>
    </row>
    <row r="337" spans="1:12" x14ac:dyDescent="0.3">
      <c r="A337" t="s">
        <v>378</v>
      </c>
      <c r="B337" s="2">
        <v>45677</v>
      </c>
      <c r="C337" s="2" t="str">
        <f>TEXT(tblBelgaumOrders[[#This Row],[Order_Date]],"mmm")</f>
        <v>Jan</v>
      </c>
      <c r="D337" t="s">
        <v>20</v>
      </c>
      <c r="E337" t="s">
        <v>2</v>
      </c>
      <c r="F337" t="s">
        <v>37</v>
      </c>
      <c r="G337" t="s">
        <v>4</v>
      </c>
      <c r="H337" t="s">
        <v>10</v>
      </c>
      <c r="I337" t="s">
        <v>11</v>
      </c>
      <c r="J337">
        <v>10</v>
      </c>
      <c r="K337" s="3">
        <v>1915.93</v>
      </c>
      <c r="L337" s="3">
        <f>tblBelgaumOrders[[#This Row],[Quantity]]*tblBelgaumOrders[[#This Row],[Order_Amount]]</f>
        <v>19159.3</v>
      </c>
    </row>
    <row r="338" spans="1:12" x14ac:dyDescent="0.3">
      <c r="A338" t="s">
        <v>379</v>
      </c>
      <c r="B338" s="2">
        <v>45724</v>
      </c>
      <c r="C338" s="2" t="str">
        <f>TEXT(tblBelgaumOrders[[#This Row],[Order_Date]],"mmm")</f>
        <v>Mar</v>
      </c>
      <c r="D338" t="s">
        <v>53</v>
      </c>
      <c r="E338" t="s">
        <v>14</v>
      </c>
      <c r="F338" t="s">
        <v>73</v>
      </c>
      <c r="G338" t="s">
        <v>17</v>
      </c>
      <c r="H338" t="s">
        <v>10</v>
      </c>
      <c r="I338" t="s">
        <v>11</v>
      </c>
      <c r="J338">
        <v>24</v>
      </c>
      <c r="K338" s="3">
        <v>0</v>
      </c>
      <c r="L338" s="3">
        <f>tblBelgaumOrders[[#This Row],[Quantity]]*tblBelgaumOrders[[#This Row],[Order_Amount]]</f>
        <v>0</v>
      </c>
    </row>
    <row r="339" spans="1:12" x14ac:dyDescent="0.3">
      <c r="A339" t="s">
        <v>380</v>
      </c>
      <c r="B339" s="2">
        <v>45730</v>
      </c>
      <c r="C339" s="2" t="str">
        <f>TEXT(tblBelgaumOrders[[#This Row],[Order_Date]],"mmm")</f>
        <v>Mar</v>
      </c>
      <c r="D339" t="s">
        <v>1</v>
      </c>
      <c r="E339" t="s">
        <v>14</v>
      </c>
      <c r="F339" t="s">
        <v>21</v>
      </c>
      <c r="G339" t="s">
        <v>30</v>
      </c>
      <c r="H339" t="s">
        <v>10</v>
      </c>
      <c r="I339" t="s">
        <v>46</v>
      </c>
      <c r="J339">
        <v>18</v>
      </c>
      <c r="K339" s="3">
        <v>2379.48</v>
      </c>
      <c r="L339" s="3">
        <f>tblBelgaumOrders[[#This Row],[Quantity]]*tblBelgaumOrders[[#This Row],[Order_Amount]]</f>
        <v>42830.64</v>
      </c>
    </row>
    <row r="340" spans="1:12" x14ac:dyDescent="0.3">
      <c r="A340" t="s">
        <v>381</v>
      </c>
      <c r="B340" s="2">
        <v>45830</v>
      </c>
      <c r="C340" s="2" t="str">
        <f>TEXT(tblBelgaumOrders[[#This Row],[Order_Date]],"mmm")</f>
        <v>Jun</v>
      </c>
      <c r="D340" t="s">
        <v>23</v>
      </c>
      <c r="E340" t="s">
        <v>2</v>
      </c>
      <c r="F340" t="s">
        <v>35</v>
      </c>
      <c r="G340" t="s">
        <v>15</v>
      </c>
      <c r="H340" t="s">
        <v>10</v>
      </c>
      <c r="I340" t="s">
        <v>6</v>
      </c>
      <c r="J340">
        <v>3</v>
      </c>
      <c r="K340" s="3">
        <v>10939.28</v>
      </c>
      <c r="L340" s="3">
        <f>tblBelgaumOrders[[#This Row],[Quantity]]*tblBelgaumOrders[[#This Row],[Order_Amount]]</f>
        <v>32817.840000000004</v>
      </c>
    </row>
    <row r="341" spans="1:12" x14ac:dyDescent="0.3">
      <c r="A341" t="s">
        <v>382</v>
      </c>
      <c r="B341" s="2">
        <v>45772</v>
      </c>
      <c r="C341" s="2" t="str">
        <f>TEXT(tblBelgaumOrders[[#This Row],[Order_Date]],"mmm")</f>
        <v>Apr</v>
      </c>
      <c r="D341" t="s">
        <v>58</v>
      </c>
      <c r="E341" t="s">
        <v>2</v>
      </c>
      <c r="F341" t="s">
        <v>40</v>
      </c>
      <c r="G341" t="s">
        <v>4</v>
      </c>
      <c r="H341" t="s">
        <v>10</v>
      </c>
      <c r="I341" t="s">
        <v>11</v>
      </c>
      <c r="J341">
        <v>10</v>
      </c>
      <c r="K341" s="3">
        <v>1575.94</v>
      </c>
      <c r="L341" s="3">
        <f>tblBelgaumOrders[[#This Row],[Quantity]]*tblBelgaumOrders[[#This Row],[Order_Amount]]</f>
        <v>15759.400000000001</v>
      </c>
    </row>
    <row r="342" spans="1:12" x14ac:dyDescent="0.3">
      <c r="A342" t="s">
        <v>383</v>
      </c>
      <c r="B342" s="2">
        <v>45948</v>
      </c>
      <c r="C342" s="2" t="str">
        <f>TEXT(tblBelgaumOrders[[#This Row],[Order_Date]],"mmm")</f>
        <v>Oct</v>
      </c>
      <c r="D342" t="s">
        <v>8</v>
      </c>
      <c r="E342" t="s">
        <v>2</v>
      </c>
      <c r="F342" t="s">
        <v>3</v>
      </c>
      <c r="G342" t="s">
        <v>15</v>
      </c>
      <c r="H342" t="s">
        <v>5</v>
      </c>
      <c r="I342" t="s">
        <v>6</v>
      </c>
      <c r="J342">
        <v>2</v>
      </c>
      <c r="K342" s="3">
        <v>682.25</v>
      </c>
      <c r="L342" s="3">
        <f>tblBelgaumOrders[[#This Row],[Quantity]]*tblBelgaumOrders[[#This Row],[Order_Amount]]</f>
        <v>1364.5</v>
      </c>
    </row>
    <row r="343" spans="1:12" x14ac:dyDescent="0.3">
      <c r="A343" t="s">
        <v>384</v>
      </c>
      <c r="B343" s="2">
        <v>45730</v>
      </c>
      <c r="C343" s="2" t="str">
        <f>TEXT(tblBelgaumOrders[[#This Row],[Order_Date]],"mmm")</f>
        <v>Mar</v>
      </c>
      <c r="D343" t="s">
        <v>53</v>
      </c>
      <c r="E343" t="s">
        <v>14</v>
      </c>
      <c r="F343" t="s">
        <v>3</v>
      </c>
      <c r="G343" t="s">
        <v>30</v>
      </c>
      <c r="H343" t="s">
        <v>10</v>
      </c>
      <c r="I343" t="s">
        <v>18</v>
      </c>
      <c r="J343">
        <v>8</v>
      </c>
      <c r="K343" s="3">
        <v>2585.4299999999998</v>
      </c>
      <c r="L343" s="3">
        <f>tblBelgaumOrders[[#This Row],[Quantity]]*tblBelgaumOrders[[#This Row],[Order_Amount]]</f>
        <v>20683.439999999999</v>
      </c>
    </row>
    <row r="344" spans="1:12" x14ac:dyDescent="0.3">
      <c r="A344" t="s">
        <v>385</v>
      </c>
      <c r="B344" s="2">
        <v>46001</v>
      </c>
      <c r="C344" s="2" t="str">
        <f>TEXT(tblBelgaumOrders[[#This Row],[Order_Date]],"mmm")</f>
        <v>Dec</v>
      </c>
      <c r="D344" t="s">
        <v>53</v>
      </c>
      <c r="E344" t="s">
        <v>2</v>
      </c>
      <c r="F344" t="s">
        <v>3</v>
      </c>
      <c r="G344" t="s">
        <v>4</v>
      </c>
      <c r="H344" t="s">
        <v>10</v>
      </c>
      <c r="I344" t="s">
        <v>11</v>
      </c>
      <c r="J344">
        <v>2</v>
      </c>
      <c r="K344" s="3">
        <v>614.77</v>
      </c>
      <c r="L344" s="3">
        <f>tblBelgaumOrders[[#This Row],[Quantity]]*tblBelgaumOrders[[#This Row],[Order_Amount]]</f>
        <v>1229.54</v>
      </c>
    </row>
    <row r="345" spans="1:12" x14ac:dyDescent="0.3">
      <c r="A345" t="s">
        <v>386</v>
      </c>
      <c r="B345" s="2">
        <v>45682</v>
      </c>
      <c r="C345" s="2" t="str">
        <f>TEXT(tblBelgaumOrders[[#This Row],[Order_Date]],"mmm")</f>
        <v>Jan</v>
      </c>
      <c r="D345" t="s">
        <v>29</v>
      </c>
      <c r="E345" t="s">
        <v>2</v>
      </c>
      <c r="F345" t="s">
        <v>77</v>
      </c>
      <c r="G345" t="s">
        <v>4</v>
      </c>
      <c r="H345" t="s">
        <v>10</v>
      </c>
      <c r="I345" t="s">
        <v>18</v>
      </c>
      <c r="J345">
        <v>6</v>
      </c>
      <c r="K345" s="3">
        <v>6142.4</v>
      </c>
      <c r="L345" s="3">
        <f>tblBelgaumOrders[[#This Row],[Quantity]]*tblBelgaumOrders[[#This Row],[Order_Amount]]</f>
        <v>36854.399999999994</v>
      </c>
    </row>
    <row r="346" spans="1:12" x14ac:dyDescent="0.3">
      <c r="A346" t="s">
        <v>387</v>
      </c>
      <c r="B346" s="2">
        <v>45709</v>
      </c>
      <c r="C346" s="2" t="str">
        <f>TEXT(tblBelgaumOrders[[#This Row],[Order_Date]],"mmm")</f>
        <v>Feb</v>
      </c>
      <c r="D346" t="s">
        <v>55</v>
      </c>
      <c r="E346" t="s">
        <v>14</v>
      </c>
      <c r="F346" t="s">
        <v>37</v>
      </c>
      <c r="G346" t="s">
        <v>15</v>
      </c>
      <c r="H346" t="s">
        <v>10</v>
      </c>
      <c r="I346" t="s">
        <v>11</v>
      </c>
      <c r="J346">
        <v>7</v>
      </c>
      <c r="K346" s="3">
        <v>1427.5</v>
      </c>
      <c r="L346" s="3">
        <f>tblBelgaumOrders[[#This Row],[Quantity]]*tblBelgaumOrders[[#This Row],[Order_Amount]]</f>
        <v>9992.5</v>
      </c>
    </row>
    <row r="347" spans="1:12" x14ac:dyDescent="0.3">
      <c r="A347" t="s">
        <v>388</v>
      </c>
      <c r="B347" s="2">
        <v>45821</v>
      </c>
      <c r="C347" s="2" t="str">
        <f>TEXT(tblBelgaumOrders[[#This Row],[Order_Date]],"mmm")</f>
        <v>Jun</v>
      </c>
      <c r="D347" t="s">
        <v>13</v>
      </c>
      <c r="E347" t="s">
        <v>24</v>
      </c>
      <c r="F347" t="s">
        <v>9</v>
      </c>
      <c r="G347" t="s">
        <v>4</v>
      </c>
      <c r="H347" t="s">
        <v>10</v>
      </c>
      <c r="I347" t="s">
        <v>18</v>
      </c>
      <c r="J347">
        <v>5</v>
      </c>
      <c r="K347" s="3">
        <v>1027.0999999999999</v>
      </c>
      <c r="L347" s="3">
        <f>tblBelgaumOrders[[#This Row],[Quantity]]*tblBelgaumOrders[[#This Row],[Order_Amount]]</f>
        <v>5135.5</v>
      </c>
    </row>
    <row r="348" spans="1:12" x14ac:dyDescent="0.3">
      <c r="A348" t="s">
        <v>389</v>
      </c>
      <c r="B348" s="2">
        <v>45905</v>
      </c>
      <c r="C348" s="2" t="str">
        <f>TEXT(tblBelgaumOrders[[#This Row],[Order_Date]],"mmm")</f>
        <v>Sep</v>
      </c>
      <c r="D348" t="s">
        <v>67</v>
      </c>
      <c r="E348" t="s">
        <v>2</v>
      </c>
      <c r="F348" t="s">
        <v>26</v>
      </c>
      <c r="G348" t="s">
        <v>4</v>
      </c>
      <c r="H348" t="s">
        <v>10</v>
      </c>
      <c r="I348" t="s">
        <v>11</v>
      </c>
      <c r="J348">
        <v>6</v>
      </c>
      <c r="K348" s="3">
        <v>2829.59</v>
      </c>
      <c r="L348" s="3">
        <f>tblBelgaumOrders[[#This Row],[Quantity]]*tblBelgaumOrders[[#This Row],[Order_Amount]]</f>
        <v>16977.54</v>
      </c>
    </row>
    <row r="349" spans="1:12" x14ac:dyDescent="0.3">
      <c r="A349" t="s">
        <v>390</v>
      </c>
      <c r="B349" s="2">
        <v>45755</v>
      </c>
      <c r="C349" s="2" t="str">
        <f>TEXT(tblBelgaumOrders[[#This Row],[Order_Date]],"mmm")</f>
        <v>Apr</v>
      </c>
      <c r="D349" t="s">
        <v>79</v>
      </c>
      <c r="E349" t="s">
        <v>14</v>
      </c>
      <c r="F349" t="s">
        <v>40</v>
      </c>
      <c r="G349" t="s">
        <v>15</v>
      </c>
      <c r="H349" t="s">
        <v>10</v>
      </c>
      <c r="I349" t="s">
        <v>11</v>
      </c>
      <c r="J349">
        <v>13</v>
      </c>
      <c r="K349" s="3">
        <v>1679.7</v>
      </c>
      <c r="L349" s="3">
        <f>tblBelgaumOrders[[#This Row],[Quantity]]*tblBelgaumOrders[[#This Row],[Order_Amount]]</f>
        <v>21836.100000000002</v>
      </c>
    </row>
    <row r="350" spans="1:12" x14ac:dyDescent="0.3">
      <c r="A350" t="s">
        <v>391</v>
      </c>
      <c r="B350" s="2">
        <v>45859</v>
      </c>
      <c r="C350" s="2" t="str">
        <f>TEXT(tblBelgaumOrders[[#This Row],[Order_Date]],"mmm")</f>
        <v>Jul</v>
      </c>
      <c r="D350" t="s">
        <v>39</v>
      </c>
      <c r="E350" t="s">
        <v>14</v>
      </c>
      <c r="F350" t="s">
        <v>9</v>
      </c>
      <c r="G350" t="s">
        <v>4</v>
      </c>
      <c r="H350" t="s">
        <v>10</v>
      </c>
      <c r="I350" t="s">
        <v>11</v>
      </c>
      <c r="J350">
        <v>25</v>
      </c>
      <c r="K350" s="3">
        <v>4671.8900000000003</v>
      </c>
      <c r="L350" s="3">
        <f>tblBelgaumOrders[[#This Row],[Quantity]]*tblBelgaumOrders[[#This Row],[Order_Amount]]</f>
        <v>116797.25000000001</v>
      </c>
    </row>
    <row r="351" spans="1:12" x14ac:dyDescent="0.3">
      <c r="A351" t="s">
        <v>392</v>
      </c>
      <c r="B351" s="2">
        <v>45707</v>
      </c>
      <c r="C351" s="2" t="str">
        <f>TEXT(tblBelgaumOrders[[#This Row],[Order_Date]],"mmm")</f>
        <v>Feb</v>
      </c>
      <c r="D351" t="s">
        <v>67</v>
      </c>
      <c r="E351" t="s">
        <v>2</v>
      </c>
      <c r="F351" t="s">
        <v>26</v>
      </c>
      <c r="G351" t="s">
        <v>30</v>
      </c>
      <c r="H351" t="s">
        <v>10</v>
      </c>
      <c r="I351" t="s">
        <v>11</v>
      </c>
      <c r="J351">
        <v>7</v>
      </c>
      <c r="K351" s="3">
        <v>3903.1</v>
      </c>
      <c r="L351" s="3">
        <f>tblBelgaumOrders[[#This Row],[Quantity]]*tblBelgaumOrders[[#This Row],[Order_Amount]]</f>
        <v>27321.7</v>
      </c>
    </row>
    <row r="352" spans="1:12" x14ac:dyDescent="0.3">
      <c r="A352" t="s">
        <v>393</v>
      </c>
      <c r="B352" s="2">
        <v>45996</v>
      </c>
      <c r="C352" s="2" t="str">
        <f>TEXT(tblBelgaumOrders[[#This Row],[Order_Date]],"mmm")</f>
        <v>Dec</v>
      </c>
      <c r="D352" t="s">
        <v>13</v>
      </c>
      <c r="E352" t="s">
        <v>2</v>
      </c>
      <c r="F352" t="s">
        <v>37</v>
      </c>
      <c r="G352" t="s">
        <v>4</v>
      </c>
      <c r="H352" t="s">
        <v>5</v>
      </c>
      <c r="I352" t="s">
        <v>11</v>
      </c>
      <c r="J352">
        <v>8</v>
      </c>
      <c r="K352" s="3">
        <v>1367.12</v>
      </c>
      <c r="L352" s="3">
        <f>tblBelgaumOrders[[#This Row],[Quantity]]*tblBelgaumOrders[[#This Row],[Order_Amount]]</f>
        <v>10936.96</v>
      </c>
    </row>
    <row r="353" spans="1:12" x14ac:dyDescent="0.3">
      <c r="A353" t="s">
        <v>394</v>
      </c>
      <c r="B353" s="2">
        <v>45883</v>
      </c>
      <c r="C353" s="2" t="str">
        <f>TEXT(tblBelgaumOrders[[#This Row],[Order_Date]],"mmm")</f>
        <v>Aug</v>
      </c>
      <c r="D353" t="s">
        <v>32</v>
      </c>
      <c r="E353" t="s">
        <v>2</v>
      </c>
      <c r="F353" t="s">
        <v>21</v>
      </c>
      <c r="G353" t="s">
        <v>4</v>
      </c>
      <c r="H353" t="s">
        <v>10</v>
      </c>
      <c r="I353" t="s">
        <v>6</v>
      </c>
      <c r="J353">
        <v>2</v>
      </c>
      <c r="K353" s="3">
        <v>192.34</v>
      </c>
      <c r="L353" s="3">
        <f>tblBelgaumOrders[[#This Row],[Quantity]]*tblBelgaumOrders[[#This Row],[Order_Amount]]</f>
        <v>384.68</v>
      </c>
    </row>
    <row r="354" spans="1:12" x14ac:dyDescent="0.3">
      <c r="A354" t="s">
        <v>395</v>
      </c>
      <c r="B354" s="2">
        <v>45834</v>
      </c>
      <c r="C354" s="2" t="str">
        <f>TEXT(tblBelgaumOrders[[#This Row],[Order_Date]],"mmm")</f>
        <v>Jun</v>
      </c>
      <c r="D354" t="s">
        <v>39</v>
      </c>
      <c r="E354" t="s">
        <v>2</v>
      </c>
      <c r="F354" t="s">
        <v>40</v>
      </c>
      <c r="G354" t="s">
        <v>4</v>
      </c>
      <c r="H354" t="s">
        <v>10</v>
      </c>
      <c r="I354" t="s">
        <v>11</v>
      </c>
      <c r="J354">
        <v>9</v>
      </c>
      <c r="K354" s="3">
        <v>1441.7</v>
      </c>
      <c r="L354" s="3">
        <f>tblBelgaumOrders[[#This Row],[Quantity]]*tblBelgaumOrders[[#This Row],[Order_Amount]]</f>
        <v>12975.300000000001</v>
      </c>
    </row>
    <row r="355" spans="1:12" x14ac:dyDescent="0.3">
      <c r="A355" t="s">
        <v>396</v>
      </c>
      <c r="B355" s="2">
        <v>45932</v>
      </c>
      <c r="C355" s="2" t="str">
        <f>TEXT(tblBelgaumOrders[[#This Row],[Order_Date]],"mmm")</f>
        <v>Oct</v>
      </c>
      <c r="D355" t="s">
        <v>55</v>
      </c>
      <c r="E355" t="s">
        <v>2</v>
      </c>
      <c r="F355" t="s">
        <v>3</v>
      </c>
      <c r="G355" t="s">
        <v>4</v>
      </c>
      <c r="H355" t="s">
        <v>10</v>
      </c>
      <c r="I355" t="s">
        <v>18</v>
      </c>
      <c r="J355">
        <v>1</v>
      </c>
      <c r="K355" s="3">
        <v>273.33</v>
      </c>
      <c r="L355" s="3">
        <f>tblBelgaumOrders[[#This Row],[Quantity]]*tblBelgaumOrders[[#This Row],[Order_Amount]]</f>
        <v>273.33</v>
      </c>
    </row>
    <row r="356" spans="1:12" x14ac:dyDescent="0.3">
      <c r="A356" t="s">
        <v>397</v>
      </c>
      <c r="B356" s="2">
        <v>45922</v>
      </c>
      <c r="C356" s="2" t="str">
        <f>TEXT(tblBelgaumOrders[[#This Row],[Order_Date]],"mmm")</f>
        <v>Sep</v>
      </c>
      <c r="D356" t="s">
        <v>75</v>
      </c>
      <c r="E356" t="s">
        <v>2</v>
      </c>
      <c r="F356" t="s">
        <v>40</v>
      </c>
      <c r="G356" t="s">
        <v>4</v>
      </c>
      <c r="H356" t="s">
        <v>63</v>
      </c>
      <c r="I356" t="s">
        <v>82</v>
      </c>
      <c r="J356">
        <v>4</v>
      </c>
      <c r="K356" s="3">
        <v>528.46</v>
      </c>
      <c r="L356" s="3">
        <f>tblBelgaumOrders[[#This Row],[Quantity]]*tblBelgaumOrders[[#This Row],[Order_Amount]]</f>
        <v>2113.84</v>
      </c>
    </row>
    <row r="357" spans="1:12" x14ac:dyDescent="0.3">
      <c r="A357" t="s">
        <v>398</v>
      </c>
      <c r="B357" s="2">
        <v>45874</v>
      </c>
      <c r="C357" s="2" t="str">
        <f>TEXT(tblBelgaumOrders[[#This Row],[Order_Date]],"mmm")</f>
        <v>Aug</v>
      </c>
      <c r="D357" t="s">
        <v>20</v>
      </c>
      <c r="E357" t="s">
        <v>24</v>
      </c>
      <c r="F357" t="s">
        <v>77</v>
      </c>
      <c r="G357" t="s">
        <v>30</v>
      </c>
      <c r="H357" t="s">
        <v>5</v>
      </c>
      <c r="I357" t="s">
        <v>18</v>
      </c>
      <c r="J357">
        <v>11</v>
      </c>
      <c r="K357" s="3">
        <v>11407.9</v>
      </c>
      <c r="L357" s="3">
        <f>tblBelgaumOrders[[#This Row],[Quantity]]*tblBelgaumOrders[[#This Row],[Order_Amount]]</f>
        <v>125486.9</v>
      </c>
    </row>
    <row r="358" spans="1:12" x14ac:dyDescent="0.3">
      <c r="A358" t="s">
        <v>399</v>
      </c>
      <c r="B358" s="2">
        <v>45692</v>
      </c>
      <c r="C358" s="2" t="str">
        <f>TEXT(tblBelgaumOrders[[#This Row],[Order_Date]],"mmm")</f>
        <v>Feb</v>
      </c>
      <c r="D358" t="s">
        <v>20</v>
      </c>
      <c r="E358" t="s">
        <v>2</v>
      </c>
      <c r="F358" t="s">
        <v>51</v>
      </c>
      <c r="G358" t="s">
        <v>4</v>
      </c>
      <c r="H358" t="s">
        <v>10</v>
      </c>
      <c r="I358" t="s">
        <v>11</v>
      </c>
      <c r="J358">
        <v>1</v>
      </c>
      <c r="K358" s="3">
        <v>2199.4699999999998</v>
      </c>
      <c r="L358" s="3">
        <f>tblBelgaumOrders[[#This Row],[Quantity]]*tblBelgaumOrders[[#This Row],[Order_Amount]]</f>
        <v>2199.4699999999998</v>
      </c>
    </row>
    <row r="359" spans="1:12" x14ac:dyDescent="0.3">
      <c r="A359" t="s">
        <v>400</v>
      </c>
      <c r="B359" s="2">
        <v>45925</v>
      </c>
      <c r="C359" s="2" t="str">
        <f>TEXT(tblBelgaumOrders[[#This Row],[Order_Date]],"mmm")</f>
        <v>Sep</v>
      </c>
      <c r="D359" t="s">
        <v>79</v>
      </c>
      <c r="E359" t="s">
        <v>2</v>
      </c>
      <c r="F359" t="s">
        <v>9</v>
      </c>
      <c r="G359" t="s">
        <v>4</v>
      </c>
      <c r="H359" t="s">
        <v>5</v>
      </c>
      <c r="I359" t="s">
        <v>82</v>
      </c>
      <c r="J359">
        <v>2</v>
      </c>
      <c r="K359" s="3">
        <v>469.78</v>
      </c>
      <c r="L359" s="3">
        <f>tblBelgaumOrders[[#This Row],[Quantity]]*tblBelgaumOrders[[#This Row],[Order_Amount]]</f>
        <v>939.56</v>
      </c>
    </row>
    <row r="360" spans="1:12" x14ac:dyDescent="0.3">
      <c r="A360" t="s">
        <v>401</v>
      </c>
      <c r="B360" s="2">
        <v>45946</v>
      </c>
      <c r="C360" s="2" t="str">
        <f>TEXT(tblBelgaumOrders[[#This Row],[Order_Date]],"mmm")</f>
        <v>Oct</v>
      </c>
      <c r="D360" t="s">
        <v>1</v>
      </c>
      <c r="E360" t="s">
        <v>14</v>
      </c>
      <c r="F360" t="s">
        <v>21</v>
      </c>
      <c r="G360" t="s">
        <v>17</v>
      </c>
      <c r="H360" t="s">
        <v>5</v>
      </c>
      <c r="I360" t="s">
        <v>11</v>
      </c>
      <c r="J360">
        <v>21</v>
      </c>
      <c r="K360" s="3">
        <v>0</v>
      </c>
      <c r="L360" s="3">
        <f>tblBelgaumOrders[[#This Row],[Quantity]]*tblBelgaumOrders[[#This Row],[Order_Amount]]</f>
        <v>0</v>
      </c>
    </row>
    <row r="361" spans="1:12" x14ac:dyDescent="0.3">
      <c r="A361" t="s">
        <v>402</v>
      </c>
      <c r="B361" s="2">
        <v>45900</v>
      </c>
      <c r="C361" s="2" t="str">
        <f>TEXT(tblBelgaumOrders[[#This Row],[Order_Date]],"mmm")</f>
        <v>Aug</v>
      </c>
      <c r="D361" t="s">
        <v>8</v>
      </c>
      <c r="E361" t="s">
        <v>2</v>
      </c>
      <c r="F361" t="s">
        <v>77</v>
      </c>
      <c r="G361" t="s">
        <v>4</v>
      </c>
      <c r="H361" t="s">
        <v>5</v>
      </c>
      <c r="I361" t="s">
        <v>11</v>
      </c>
      <c r="J361">
        <v>7</v>
      </c>
      <c r="K361" s="3">
        <v>8536.9</v>
      </c>
      <c r="L361" s="3">
        <f>tblBelgaumOrders[[#This Row],[Quantity]]*tblBelgaumOrders[[#This Row],[Order_Amount]]</f>
        <v>59758.299999999996</v>
      </c>
    </row>
    <row r="362" spans="1:12" x14ac:dyDescent="0.3">
      <c r="A362" t="s">
        <v>403</v>
      </c>
      <c r="B362" s="2">
        <v>45827</v>
      </c>
      <c r="C362" s="2" t="str">
        <f>TEXT(tblBelgaumOrders[[#This Row],[Order_Date]],"mmm")</f>
        <v>Jun</v>
      </c>
      <c r="D362" t="s">
        <v>50</v>
      </c>
      <c r="E362" t="s">
        <v>2</v>
      </c>
      <c r="F362" t="s">
        <v>77</v>
      </c>
      <c r="G362" t="s">
        <v>4</v>
      </c>
      <c r="H362" t="s">
        <v>10</v>
      </c>
      <c r="I362" t="s">
        <v>11</v>
      </c>
      <c r="J362">
        <v>5</v>
      </c>
      <c r="K362" s="3">
        <v>4448.71</v>
      </c>
      <c r="L362" s="3">
        <f>tblBelgaumOrders[[#This Row],[Quantity]]*tblBelgaumOrders[[#This Row],[Order_Amount]]</f>
        <v>22243.55</v>
      </c>
    </row>
    <row r="363" spans="1:12" x14ac:dyDescent="0.3">
      <c r="A363" t="s">
        <v>404</v>
      </c>
      <c r="B363" s="2">
        <v>45909</v>
      </c>
      <c r="C363" s="2" t="str">
        <f>TEXT(tblBelgaumOrders[[#This Row],[Order_Date]],"mmm")</f>
        <v>Sep</v>
      </c>
      <c r="D363" t="s">
        <v>1</v>
      </c>
      <c r="E363" t="s">
        <v>24</v>
      </c>
      <c r="F363" t="s">
        <v>3</v>
      </c>
      <c r="G363" t="s">
        <v>4</v>
      </c>
      <c r="H363" t="s">
        <v>5</v>
      </c>
      <c r="I363" t="s">
        <v>18</v>
      </c>
      <c r="J363">
        <v>13</v>
      </c>
      <c r="K363" s="3">
        <v>3428.09</v>
      </c>
      <c r="L363" s="3">
        <f>tblBelgaumOrders[[#This Row],[Quantity]]*tblBelgaumOrders[[#This Row],[Order_Amount]]</f>
        <v>44565.17</v>
      </c>
    </row>
    <row r="364" spans="1:12" x14ac:dyDescent="0.3">
      <c r="A364" t="s">
        <v>405</v>
      </c>
      <c r="B364" s="2">
        <v>45988</v>
      </c>
      <c r="C364" s="2" t="str">
        <f>TEXT(tblBelgaumOrders[[#This Row],[Order_Date]],"mmm")</f>
        <v>Nov</v>
      </c>
      <c r="D364" t="s">
        <v>20</v>
      </c>
      <c r="E364" t="s">
        <v>2</v>
      </c>
      <c r="F364" t="s">
        <v>9</v>
      </c>
      <c r="G364" t="s">
        <v>17</v>
      </c>
      <c r="H364" t="s">
        <v>5</v>
      </c>
      <c r="I364" t="s">
        <v>18</v>
      </c>
      <c r="J364">
        <v>6</v>
      </c>
      <c r="K364" s="3">
        <v>0</v>
      </c>
      <c r="L364" s="3">
        <f>tblBelgaumOrders[[#This Row],[Quantity]]*tblBelgaumOrders[[#This Row],[Order_Amount]]</f>
        <v>0</v>
      </c>
    </row>
    <row r="365" spans="1:12" x14ac:dyDescent="0.3">
      <c r="A365" t="s">
        <v>406</v>
      </c>
      <c r="B365" s="2">
        <v>45921</v>
      </c>
      <c r="C365" s="2" t="str">
        <f>TEXT(tblBelgaumOrders[[#This Row],[Order_Date]],"mmm")</f>
        <v>Sep</v>
      </c>
      <c r="D365" t="s">
        <v>58</v>
      </c>
      <c r="E365" t="s">
        <v>2</v>
      </c>
      <c r="F365" t="s">
        <v>40</v>
      </c>
      <c r="G365" t="s">
        <v>4</v>
      </c>
      <c r="H365" t="s">
        <v>5</v>
      </c>
      <c r="I365" t="s">
        <v>6</v>
      </c>
      <c r="J365">
        <v>10</v>
      </c>
      <c r="K365" s="3">
        <v>1227.79</v>
      </c>
      <c r="L365" s="3">
        <f>tblBelgaumOrders[[#This Row],[Quantity]]*tblBelgaumOrders[[#This Row],[Order_Amount]]</f>
        <v>12277.9</v>
      </c>
    </row>
    <row r="366" spans="1:12" x14ac:dyDescent="0.3">
      <c r="A366" t="s">
        <v>407</v>
      </c>
      <c r="B366" s="2">
        <v>45756</v>
      </c>
      <c r="C366" s="2" t="str">
        <f>TEXT(tblBelgaumOrders[[#This Row],[Order_Date]],"mmm")</f>
        <v>Apr</v>
      </c>
      <c r="D366" t="s">
        <v>48</v>
      </c>
      <c r="E366" t="s">
        <v>14</v>
      </c>
      <c r="F366" t="s">
        <v>3</v>
      </c>
      <c r="G366" t="s">
        <v>4</v>
      </c>
      <c r="H366" t="s">
        <v>63</v>
      </c>
      <c r="I366" t="s">
        <v>6</v>
      </c>
      <c r="J366">
        <v>14</v>
      </c>
      <c r="K366" s="3">
        <v>3534.48</v>
      </c>
      <c r="L366" s="3">
        <f>tblBelgaumOrders[[#This Row],[Quantity]]*tblBelgaumOrders[[#This Row],[Order_Amount]]</f>
        <v>49482.720000000001</v>
      </c>
    </row>
    <row r="367" spans="1:12" x14ac:dyDescent="0.3">
      <c r="A367" t="s">
        <v>408</v>
      </c>
      <c r="B367" s="2">
        <v>45895</v>
      </c>
      <c r="C367" s="2" t="str">
        <f>TEXT(tblBelgaumOrders[[#This Row],[Order_Date]],"mmm")</f>
        <v>Aug</v>
      </c>
      <c r="D367" t="s">
        <v>42</v>
      </c>
      <c r="E367" t="s">
        <v>2</v>
      </c>
      <c r="F367" t="s">
        <v>73</v>
      </c>
      <c r="G367" t="s">
        <v>4</v>
      </c>
      <c r="H367" t="s">
        <v>10</v>
      </c>
      <c r="I367" t="s">
        <v>6</v>
      </c>
      <c r="J367">
        <v>8</v>
      </c>
      <c r="K367" s="3">
        <v>2878.01</v>
      </c>
      <c r="L367" s="3">
        <f>tblBelgaumOrders[[#This Row],[Quantity]]*tblBelgaumOrders[[#This Row],[Order_Amount]]</f>
        <v>23024.080000000002</v>
      </c>
    </row>
    <row r="368" spans="1:12" x14ac:dyDescent="0.3">
      <c r="A368" t="s">
        <v>409</v>
      </c>
      <c r="B368" s="2">
        <v>45900</v>
      </c>
      <c r="C368" s="2" t="str">
        <f>TEXT(tblBelgaumOrders[[#This Row],[Order_Date]],"mmm")</f>
        <v>Aug</v>
      </c>
      <c r="D368" t="s">
        <v>39</v>
      </c>
      <c r="E368" t="s">
        <v>2</v>
      </c>
      <c r="F368" t="s">
        <v>9</v>
      </c>
      <c r="G368" t="s">
        <v>17</v>
      </c>
      <c r="H368" t="s">
        <v>5</v>
      </c>
      <c r="I368" t="s">
        <v>6</v>
      </c>
      <c r="J368">
        <v>5</v>
      </c>
      <c r="K368" s="3">
        <v>0</v>
      </c>
      <c r="L368" s="3">
        <f>tblBelgaumOrders[[#This Row],[Quantity]]*tblBelgaumOrders[[#This Row],[Order_Amount]]</f>
        <v>0</v>
      </c>
    </row>
    <row r="369" spans="1:12" x14ac:dyDescent="0.3">
      <c r="A369" t="s">
        <v>410</v>
      </c>
      <c r="B369" s="2">
        <v>45683</v>
      </c>
      <c r="C369" s="2" t="str">
        <f>TEXT(tblBelgaumOrders[[#This Row],[Order_Date]],"mmm")</f>
        <v>Jan</v>
      </c>
      <c r="D369" t="s">
        <v>58</v>
      </c>
      <c r="E369" t="s">
        <v>14</v>
      </c>
      <c r="F369" t="s">
        <v>40</v>
      </c>
      <c r="G369" t="s">
        <v>4</v>
      </c>
      <c r="H369" t="s">
        <v>10</v>
      </c>
      <c r="I369" t="s">
        <v>11</v>
      </c>
      <c r="J369">
        <v>12</v>
      </c>
      <c r="K369" s="3">
        <v>1749.98</v>
      </c>
      <c r="L369" s="3">
        <f>tblBelgaumOrders[[#This Row],[Quantity]]*tblBelgaumOrders[[#This Row],[Order_Amount]]</f>
        <v>20999.760000000002</v>
      </c>
    </row>
    <row r="370" spans="1:12" x14ac:dyDescent="0.3">
      <c r="A370" t="s">
        <v>411</v>
      </c>
      <c r="B370" s="2">
        <v>45867</v>
      </c>
      <c r="C370" s="2" t="str">
        <f>TEXT(tblBelgaumOrders[[#This Row],[Order_Date]],"mmm")</f>
        <v>Jul</v>
      </c>
      <c r="D370" t="s">
        <v>42</v>
      </c>
      <c r="E370" t="s">
        <v>2</v>
      </c>
      <c r="F370" t="s">
        <v>40</v>
      </c>
      <c r="G370" t="s">
        <v>15</v>
      </c>
      <c r="H370" t="s">
        <v>10</v>
      </c>
      <c r="I370" t="s">
        <v>46</v>
      </c>
      <c r="J370">
        <v>3</v>
      </c>
      <c r="K370" s="3">
        <v>533.13</v>
      </c>
      <c r="L370" s="3">
        <f>tblBelgaumOrders[[#This Row],[Quantity]]*tblBelgaumOrders[[#This Row],[Order_Amount]]</f>
        <v>1599.3899999999999</v>
      </c>
    </row>
    <row r="371" spans="1:12" x14ac:dyDescent="0.3">
      <c r="A371" t="s">
        <v>412</v>
      </c>
      <c r="B371" s="2">
        <v>45662</v>
      </c>
      <c r="C371" s="2" t="str">
        <f>TEXT(tblBelgaumOrders[[#This Row],[Order_Date]],"mmm")</f>
        <v>Jan</v>
      </c>
      <c r="D371" t="s">
        <v>50</v>
      </c>
      <c r="E371" t="s">
        <v>2</v>
      </c>
      <c r="F371" t="s">
        <v>21</v>
      </c>
      <c r="G371" t="s">
        <v>4</v>
      </c>
      <c r="H371" t="s">
        <v>63</v>
      </c>
      <c r="I371" t="s">
        <v>6</v>
      </c>
      <c r="J371">
        <v>7</v>
      </c>
      <c r="K371" s="3">
        <v>1081.32</v>
      </c>
      <c r="L371" s="3">
        <f>tblBelgaumOrders[[#This Row],[Quantity]]*tblBelgaumOrders[[#This Row],[Order_Amount]]</f>
        <v>7569.24</v>
      </c>
    </row>
    <row r="372" spans="1:12" x14ac:dyDescent="0.3">
      <c r="A372" t="s">
        <v>413</v>
      </c>
      <c r="B372" s="2">
        <v>45836</v>
      </c>
      <c r="C372" s="2" t="str">
        <f>TEXT(tblBelgaumOrders[[#This Row],[Order_Date]],"mmm")</f>
        <v>Jun</v>
      </c>
      <c r="D372" t="s">
        <v>32</v>
      </c>
      <c r="E372" t="s">
        <v>2</v>
      </c>
      <c r="F372" t="s">
        <v>77</v>
      </c>
      <c r="G372" t="s">
        <v>4</v>
      </c>
      <c r="H372" t="s">
        <v>5</v>
      </c>
      <c r="I372" t="s">
        <v>11</v>
      </c>
      <c r="J372">
        <v>2</v>
      </c>
      <c r="K372" s="3">
        <v>1433.38</v>
      </c>
      <c r="L372" s="3">
        <f>tblBelgaumOrders[[#This Row],[Quantity]]*tblBelgaumOrders[[#This Row],[Order_Amount]]</f>
        <v>2866.76</v>
      </c>
    </row>
    <row r="373" spans="1:12" x14ac:dyDescent="0.3">
      <c r="A373" t="s">
        <v>414</v>
      </c>
      <c r="B373" s="2">
        <v>45997</v>
      </c>
      <c r="C373" s="2" t="str">
        <f>TEXT(tblBelgaumOrders[[#This Row],[Order_Date]],"mmm")</f>
        <v>Dec</v>
      </c>
      <c r="D373" t="s">
        <v>34</v>
      </c>
      <c r="E373" t="s">
        <v>2</v>
      </c>
      <c r="F373" t="s">
        <v>37</v>
      </c>
      <c r="G373" t="s">
        <v>4</v>
      </c>
      <c r="H373" t="s">
        <v>5</v>
      </c>
      <c r="I373" t="s">
        <v>6</v>
      </c>
      <c r="J373">
        <v>6</v>
      </c>
      <c r="K373" s="3">
        <v>1772.78</v>
      </c>
      <c r="L373" s="3">
        <f>tblBelgaumOrders[[#This Row],[Quantity]]*tblBelgaumOrders[[#This Row],[Order_Amount]]</f>
        <v>10636.68</v>
      </c>
    </row>
    <row r="374" spans="1:12" x14ac:dyDescent="0.3">
      <c r="A374" t="s">
        <v>415</v>
      </c>
      <c r="B374" s="2">
        <v>45985</v>
      </c>
      <c r="C374" s="2" t="str">
        <f>TEXT(tblBelgaumOrders[[#This Row],[Order_Date]],"mmm")</f>
        <v>Nov</v>
      </c>
      <c r="D374" t="s">
        <v>53</v>
      </c>
      <c r="E374" t="s">
        <v>14</v>
      </c>
      <c r="F374" t="s">
        <v>3</v>
      </c>
      <c r="G374" t="s">
        <v>15</v>
      </c>
      <c r="H374" t="s">
        <v>5</v>
      </c>
      <c r="I374" t="s">
        <v>11</v>
      </c>
      <c r="J374">
        <v>10</v>
      </c>
      <c r="K374" s="3">
        <v>2756.98</v>
      </c>
      <c r="L374" s="3">
        <f>tblBelgaumOrders[[#This Row],[Quantity]]*tblBelgaumOrders[[#This Row],[Order_Amount]]</f>
        <v>27569.8</v>
      </c>
    </row>
    <row r="375" spans="1:12" x14ac:dyDescent="0.3">
      <c r="A375" t="s">
        <v>416</v>
      </c>
      <c r="B375" s="2">
        <v>45781</v>
      </c>
      <c r="C375" s="2" t="str">
        <f>TEXT(tblBelgaumOrders[[#This Row],[Order_Date]],"mmm")</f>
        <v>May</v>
      </c>
      <c r="D375" t="s">
        <v>8</v>
      </c>
      <c r="E375" t="s">
        <v>14</v>
      </c>
      <c r="F375" t="s">
        <v>21</v>
      </c>
      <c r="G375" t="s">
        <v>4</v>
      </c>
      <c r="H375" t="s">
        <v>5</v>
      </c>
      <c r="I375" t="s">
        <v>6</v>
      </c>
      <c r="J375">
        <v>6</v>
      </c>
      <c r="K375" s="3">
        <v>823.13</v>
      </c>
      <c r="L375" s="3">
        <f>tblBelgaumOrders[[#This Row],[Quantity]]*tblBelgaumOrders[[#This Row],[Order_Amount]]</f>
        <v>4938.78</v>
      </c>
    </row>
    <row r="376" spans="1:12" x14ac:dyDescent="0.3">
      <c r="A376" t="s">
        <v>417</v>
      </c>
      <c r="B376" s="2">
        <v>45809</v>
      </c>
      <c r="C376" s="2" t="str">
        <f>TEXT(tblBelgaumOrders[[#This Row],[Order_Date]],"mmm")</f>
        <v>Jun</v>
      </c>
      <c r="D376" t="s">
        <v>13</v>
      </c>
      <c r="E376" t="s">
        <v>24</v>
      </c>
      <c r="F376" t="s">
        <v>77</v>
      </c>
      <c r="G376" t="s">
        <v>15</v>
      </c>
      <c r="H376" t="s">
        <v>5</v>
      </c>
      <c r="I376" t="s">
        <v>82</v>
      </c>
      <c r="J376">
        <v>9</v>
      </c>
      <c r="K376" s="3">
        <v>9456.14</v>
      </c>
      <c r="L376" s="3">
        <f>tblBelgaumOrders[[#This Row],[Quantity]]*tblBelgaumOrders[[#This Row],[Order_Amount]]</f>
        <v>85105.26</v>
      </c>
    </row>
    <row r="377" spans="1:12" x14ac:dyDescent="0.3">
      <c r="A377" t="s">
        <v>418</v>
      </c>
      <c r="B377" s="2">
        <v>45931</v>
      </c>
      <c r="C377" s="2" t="str">
        <f>TEXT(tblBelgaumOrders[[#This Row],[Order_Date]],"mmm")</f>
        <v>Oct</v>
      </c>
      <c r="D377" t="s">
        <v>55</v>
      </c>
      <c r="E377" t="s">
        <v>24</v>
      </c>
      <c r="F377" t="s">
        <v>26</v>
      </c>
      <c r="G377" t="s">
        <v>4</v>
      </c>
      <c r="H377" t="s">
        <v>5</v>
      </c>
      <c r="I377" t="s">
        <v>18</v>
      </c>
      <c r="J377">
        <v>8</v>
      </c>
      <c r="K377" s="3">
        <v>4484.1400000000003</v>
      </c>
      <c r="L377" s="3">
        <f>tblBelgaumOrders[[#This Row],[Quantity]]*tblBelgaumOrders[[#This Row],[Order_Amount]]</f>
        <v>35873.120000000003</v>
      </c>
    </row>
    <row r="378" spans="1:12" x14ac:dyDescent="0.3">
      <c r="A378" t="s">
        <v>419</v>
      </c>
      <c r="B378" s="2">
        <v>45790</v>
      </c>
      <c r="C378" s="2" t="str">
        <f>TEXT(tblBelgaumOrders[[#This Row],[Order_Date]],"mmm")</f>
        <v>May</v>
      </c>
      <c r="D378" t="s">
        <v>39</v>
      </c>
      <c r="E378" t="s">
        <v>14</v>
      </c>
      <c r="F378" t="s">
        <v>9</v>
      </c>
      <c r="G378" t="s">
        <v>4</v>
      </c>
      <c r="H378" t="s">
        <v>10</v>
      </c>
      <c r="I378" t="s">
        <v>11</v>
      </c>
      <c r="J378">
        <v>17</v>
      </c>
      <c r="K378" s="3">
        <v>2705.03</v>
      </c>
      <c r="L378" s="3">
        <f>tblBelgaumOrders[[#This Row],[Quantity]]*tblBelgaumOrders[[#This Row],[Order_Amount]]</f>
        <v>45985.51</v>
      </c>
    </row>
    <row r="379" spans="1:12" x14ac:dyDescent="0.3">
      <c r="A379" t="s">
        <v>420</v>
      </c>
      <c r="B379" s="2">
        <v>45815</v>
      </c>
      <c r="C379" s="2" t="str">
        <f>TEXT(tblBelgaumOrders[[#This Row],[Order_Date]],"mmm")</f>
        <v>Jun</v>
      </c>
      <c r="D379" t="s">
        <v>79</v>
      </c>
      <c r="E379" t="s">
        <v>14</v>
      </c>
      <c r="F379" t="s">
        <v>51</v>
      </c>
      <c r="G379" t="s">
        <v>4</v>
      </c>
      <c r="H379" t="s">
        <v>10</v>
      </c>
      <c r="I379" t="s">
        <v>18</v>
      </c>
      <c r="J379">
        <v>21</v>
      </c>
      <c r="K379" s="3">
        <v>29567.39</v>
      </c>
      <c r="L379" s="3">
        <f>tblBelgaumOrders[[#This Row],[Quantity]]*tblBelgaumOrders[[#This Row],[Order_Amount]]</f>
        <v>620915.18999999994</v>
      </c>
    </row>
    <row r="380" spans="1:12" x14ac:dyDescent="0.3">
      <c r="A380" t="s">
        <v>421</v>
      </c>
      <c r="B380" s="2">
        <v>45955</v>
      </c>
      <c r="C380" s="2" t="str">
        <f>TEXT(tblBelgaumOrders[[#This Row],[Order_Date]],"mmm")</f>
        <v>Oct</v>
      </c>
      <c r="D380" t="s">
        <v>20</v>
      </c>
      <c r="E380" t="s">
        <v>2</v>
      </c>
      <c r="F380" t="s">
        <v>9</v>
      </c>
      <c r="G380" t="s">
        <v>4</v>
      </c>
      <c r="H380" t="s">
        <v>5</v>
      </c>
      <c r="I380" t="s">
        <v>6</v>
      </c>
      <c r="J380">
        <v>7</v>
      </c>
      <c r="K380" s="3">
        <v>985.87</v>
      </c>
      <c r="L380" s="3">
        <f>tblBelgaumOrders[[#This Row],[Quantity]]*tblBelgaumOrders[[#This Row],[Order_Amount]]</f>
        <v>6901.09</v>
      </c>
    </row>
    <row r="381" spans="1:12" x14ac:dyDescent="0.3">
      <c r="A381" t="s">
        <v>422</v>
      </c>
      <c r="B381" s="2">
        <v>45735</v>
      </c>
      <c r="C381" s="2" t="str">
        <f>TEXT(tblBelgaumOrders[[#This Row],[Order_Date]],"mmm")</f>
        <v>Mar</v>
      </c>
      <c r="D381" t="s">
        <v>75</v>
      </c>
      <c r="E381" t="s">
        <v>24</v>
      </c>
      <c r="F381" t="s">
        <v>51</v>
      </c>
      <c r="G381" t="s">
        <v>30</v>
      </c>
      <c r="H381" t="s">
        <v>5</v>
      </c>
      <c r="I381" t="s">
        <v>82</v>
      </c>
      <c r="J381">
        <v>7</v>
      </c>
      <c r="K381" s="3">
        <v>13705.18</v>
      </c>
      <c r="L381" s="3">
        <f>tblBelgaumOrders[[#This Row],[Quantity]]*tblBelgaumOrders[[#This Row],[Order_Amount]]</f>
        <v>95936.260000000009</v>
      </c>
    </row>
    <row r="382" spans="1:12" x14ac:dyDescent="0.3">
      <c r="A382" t="s">
        <v>423</v>
      </c>
      <c r="B382" s="2">
        <v>45907</v>
      </c>
      <c r="C382" s="2" t="str">
        <f>TEXT(tblBelgaumOrders[[#This Row],[Order_Date]],"mmm")</f>
        <v>Sep</v>
      </c>
      <c r="D382" t="s">
        <v>53</v>
      </c>
      <c r="E382" t="s">
        <v>14</v>
      </c>
      <c r="F382" t="s">
        <v>9</v>
      </c>
      <c r="G382" t="s">
        <v>4</v>
      </c>
      <c r="H382" t="s">
        <v>10</v>
      </c>
      <c r="I382" t="s">
        <v>11</v>
      </c>
      <c r="J382">
        <v>11</v>
      </c>
      <c r="K382" s="3">
        <v>2169.62</v>
      </c>
      <c r="L382" s="3">
        <f>tblBelgaumOrders[[#This Row],[Quantity]]*tblBelgaumOrders[[#This Row],[Order_Amount]]</f>
        <v>23865.82</v>
      </c>
    </row>
    <row r="383" spans="1:12" x14ac:dyDescent="0.3">
      <c r="A383" t="s">
        <v>424</v>
      </c>
      <c r="B383" s="2">
        <v>45739</v>
      </c>
      <c r="C383" s="2" t="str">
        <f>TEXT(tblBelgaumOrders[[#This Row],[Order_Date]],"mmm")</f>
        <v>Mar</v>
      </c>
      <c r="D383" t="s">
        <v>55</v>
      </c>
      <c r="E383" t="s">
        <v>14</v>
      </c>
      <c r="F383" t="s">
        <v>40</v>
      </c>
      <c r="G383" t="s">
        <v>4</v>
      </c>
      <c r="H383" t="s">
        <v>10</v>
      </c>
      <c r="I383" t="s">
        <v>11</v>
      </c>
      <c r="J383">
        <v>19</v>
      </c>
      <c r="K383" s="3">
        <v>4040.76</v>
      </c>
      <c r="L383" s="3">
        <f>tblBelgaumOrders[[#This Row],[Quantity]]*tblBelgaumOrders[[#This Row],[Order_Amount]]</f>
        <v>76774.44</v>
      </c>
    </row>
    <row r="384" spans="1:12" x14ac:dyDescent="0.3">
      <c r="A384" t="s">
        <v>425</v>
      </c>
      <c r="B384" s="2">
        <v>45854</v>
      </c>
      <c r="C384" s="2" t="str">
        <f>TEXT(tblBelgaumOrders[[#This Row],[Order_Date]],"mmm")</f>
        <v>Jul</v>
      </c>
      <c r="D384" t="s">
        <v>67</v>
      </c>
      <c r="E384" t="s">
        <v>2</v>
      </c>
      <c r="F384" t="s">
        <v>9</v>
      </c>
      <c r="G384" t="s">
        <v>4</v>
      </c>
      <c r="H384" t="s">
        <v>10</v>
      </c>
      <c r="I384" t="s">
        <v>11</v>
      </c>
      <c r="J384">
        <v>9</v>
      </c>
      <c r="K384" s="3">
        <v>1400.24</v>
      </c>
      <c r="L384" s="3">
        <f>tblBelgaumOrders[[#This Row],[Quantity]]*tblBelgaumOrders[[#This Row],[Order_Amount]]</f>
        <v>12602.16</v>
      </c>
    </row>
    <row r="385" spans="1:12" x14ac:dyDescent="0.3">
      <c r="A385" t="s">
        <v>426</v>
      </c>
      <c r="B385" s="2">
        <v>46004</v>
      </c>
      <c r="C385" s="2" t="str">
        <f>TEXT(tblBelgaumOrders[[#This Row],[Order_Date]],"mmm")</f>
        <v>Dec</v>
      </c>
      <c r="D385" t="s">
        <v>67</v>
      </c>
      <c r="E385" t="s">
        <v>14</v>
      </c>
      <c r="F385" t="s">
        <v>3</v>
      </c>
      <c r="G385" t="s">
        <v>4</v>
      </c>
      <c r="H385" t="s">
        <v>10</v>
      </c>
      <c r="I385" t="s">
        <v>11</v>
      </c>
      <c r="J385">
        <v>18</v>
      </c>
      <c r="K385" s="3">
        <v>4923.37</v>
      </c>
      <c r="L385" s="3">
        <f>tblBelgaumOrders[[#This Row],[Quantity]]*tblBelgaumOrders[[#This Row],[Order_Amount]]</f>
        <v>88620.66</v>
      </c>
    </row>
    <row r="386" spans="1:12" x14ac:dyDescent="0.3">
      <c r="A386" t="s">
        <v>427</v>
      </c>
      <c r="B386" s="2">
        <v>45814</v>
      </c>
      <c r="C386" s="2" t="str">
        <f>TEXT(tblBelgaumOrders[[#This Row],[Order_Date]],"mmm")</f>
        <v>Jun</v>
      </c>
      <c r="D386" t="s">
        <v>58</v>
      </c>
      <c r="E386" t="s">
        <v>2</v>
      </c>
      <c r="F386" t="s">
        <v>9</v>
      </c>
      <c r="G386" t="s">
        <v>30</v>
      </c>
      <c r="H386" t="s">
        <v>10</v>
      </c>
      <c r="I386" t="s">
        <v>6</v>
      </c>
      <c r="J386">
        <v>9</v>
      </c>
      <c r="K386" s="3">
        <v>1543.38</v>
      </c>
      <c r="L386" s="3">
        <f>tblBelgaumOrders[[#This Row],[Quantity]]*tblBelgaumOrders[[#This Row],[Order_Amount]]</f>
        <v>13890.420000000002</v>
      </c>
    </row>
    <row r="387" spans="1:12" x14ac:dyDescent="0.3">
      <c r="A387" t="s">
        <v>428</v>
      </c>
      <c r="B387" s="2">
        <v>45726</v>
      </c>
      <c r="C387" s="2" t="str">
        <f>TEXT(tblBelgaumOrders[[#This Row],[Order_Date]],"mmm")</f>
        <v>Mar</v>
      </c>
      <c r="D387" t="s">
        <v>53</v>
      </c>
      <c r="E387" t="s">
        <v>24</v>
      </c>
      <c r="F387" t="s">
        <v>37</v>
      </c>
      <c r="G387" t="s">
        <v>15</v>
      </c>
      <c r="H387" t="s">
        <v>10</v>
      </c>
      <c r="I387" t="s">
        <v>46</v>
      </c>
      <c r="J387">
        <v>15</v>
      </c>
      <c r="K387" s="3">
        <v>2723.06</v>
      </c>
      <c r="L387" s="3">
        <f>tblBelgaumOrders[[#This Row],[Quantity]]*tblBelgaumOrders[[#This Row],[Order_Amount]]</f>
        <v>40845.9</v>
      </c>
    </row>
    <row r="388" spans="1:12" x14ac:dyDescent="0.3">
      <c r="A388" t="s">
        <v>429</v>
      </c>
      <c r="B388" s="2">
        <v>45725</v>
      </c>
      <c r="C388" s="2" t="str">
        <f>TEXT(tblBelgaumOrders[[#This Row],[Order_Date]],"mmm")</f>
        <v>Mar</v>
      </c>
      <c r="D388" t="s">
        <v>48</v>
      </c>
      <c r="E388" t="s">
        <v>14</v>
      </c>
      <c r="F388" t="s">
        <v>37</v>
      </c>
      <c r="G388" t="s">
        <v>4</v>
      </c>
      <c r="H388" t="s">
        <v>10</v>
      </c>
      <c r="I388" t="s">
        <v>6</v>
      </c>
      <c r="J388">
        <v>7</v>
      </c>
      <c r="K388" s="3">
        <v>1501.68</v>
      </c>
      <c r="L388" s="3">
        <f>tblBelgaumOrders[[#This Row],[Quantity]]*tblBelgaumOrders[[#This Row],[Order_Amount]]</f>
        <v>10511.76</v>
      </c>
    </row>
    <row r="389" spans="1:12" x14ac:dyDescent="0.3">
      <c r="A389" t="s">
        <v>430</v>
      </c>
      <c r="B389" s="2">
        <v>45985</v>
      </c>
      <c r="C389" s="2" t="str">
        <f>TEXT(tblBelgaumOrders[[#This Row],[Order_Date]],"mmm")</f>
        <v>Nov</v>
      </c>
      <c r="D389" t="s">
        <v>13</v>
      </c>
      <c r="E389" t="s">
        <v>14</v>
      </c>
      <c r="F389" t="s">
        <v>26</v>
      </c>
      <c r="G389" t="s">
        <v>4</v>
      </c>
      <c r="H389" t="s">
        <v>10</v>
      </c>
      <c r="I389" t="s">
        <v>11</v>
      </c>
      <c r="J389">
        <v>6</v>
      </c>
      <c r="K389" s="3">
        <v>2523.77</v>
      </c>
      <c r="L389" s="3">
        <f>tblBelgaumOrders[[#This Row],[Quantity]]*tblBelgaumOrders[[#This Row],[Order_Amount]]</f>
        <v>15142.619999999999</v>
      </c>
    </row>
    <row r="390" spans="1:12" x14ac:dyDescent="0.3">
      <c r="A390" t="s">
        <v>431</v>
      </c>
      <c r="B390" s="2">
        <v>45717</v>
      </c>
      <c r="C390" s="2" t="str">
        <f>TEXT(tblBelgaumOrders[[#This Row],[Order_Date]],"mmm")</f>
        <v>Mar</v>
      </c>
      <c r="D390" t="s">
        <v>79</v>
      </c>
      <c r="E390" t="s">
        <v>2</v>
      </c>
      <c r="F390" t="s">
        <v>9</v>
      </c>
      <c r="G390" t="s">
        <v>4</v>
      </c>
      <c r="H390" t="s">
        <v>5</v>
      </c>
      <c r="I390" t="s">
        <v>11</v>
      </c>
      <c r="J390">
        <v>1</v>
      </c>
      <c r="K390" s="3">
        <v>167.52</v>
      </c>
      <c r="L390" s="3">
        <f>tblBelgaumOrders[[#This Row],[Quantity]]*tblBelgaumOrders[[#This Row],[Order_Amount]]</f>
        <v>167.52</v>
      </c>
    </row>
    <row r="391" spans="1:12" x14ac:dyDescent="0.3">
      <c r="A391" t="s">
        <v>432</v>
      </c>
      <c r="B391" s="2">
        <v>45996</v>
      </c>
      <c r="C391" s="2" t="str">
        <f>TEXT(tblBelgaumOrders[[#This Row],[Order_Date]],"mmm")</f>
        <v>Dec</v>
      </c>
      <c r="D391" t="s">
        <v>1</v>
      </c>
      <c r="E391" t="s">
        <v>14</v>
      </c>
      <c r="F391" t="s">
        <v>3</v>
      </c>
      <c r="G391" t="s">
        <v>4</v>
      </c>
      <c r="H391" t="s">
        <v>10</v>
      </c>
      <c r="I391" t="s">
        <v>18</v>
      </c>
      <c r="J391">
        <v>9</v>
      </c>
      <c r="K391" s="3">
        <v>2473.27</v>
      </c>
      <c r="L391" s="3">
        <f>tblBelgaumOrders[[#This Row],[Quantity]]*tblBelgaumOrders[[#This Row],[Order_Amount]]</f>
        <v>22259.43</v>
      </c>
    </row>
    <row r="392" spans="1:12" x14ac:dyDescent="0.3">
      <c r="A392" t="s">
        <v>433</v>
      </c>
      <c r="B392" s="2">
        <v>45974</v>
      </c>
      <c r="C392" s="2" t="str">
        <f>TEXT(tblBelgaumOrders[[#This Row],[Order_Date]],"mmm")</f>
        <v>Nov</v>
      </c>
      <c r="D392" t="s">
        <v>1</v>
      </c>
      <c r="E392" t="s">
        <v>2</v>
      </c>
      <c r="F392" t="s">
        <v>40</v>
      </c>
      <c r="G392" t="s">
        <v>4</v>
      </c>
      <c r="H392" t="s">
        <v>5</v>
      </c>
      <c r="I392" t="s">
        <v>18</v>
      </c>
      <c r="J392">
        <v>9</v>
      </c>
      <c r="K392" s="3">
        <v>1920.78</v>
      </c>
      <c r="L392" s="3">
        <f>tblBelgaumOrders[[#This Row],[Quantity]]*tblBelgaumOrders[[#This Row],[Order_Amount]]</f>
        <v>17287.02</v>
      </c>
    </row>
    <row r="393" spans="1:12" x14ac:dyDescent="0.3">
      <c r="A393" t="s">
        <v>434</v>
      </c>
      <c r="B393" s="2">
        <v>45841</v>
      </c>
      <c r="C393" s="2" t="str">
        <f>TEXT(tblBelgaumOrders[[#This Row],[Order_Date]],"mmm")</f>
        <v>Jul</v>
      </c>
      <c r="D393" t="s">
        <v>79</v>
      </c>
      <c r="E393" t="s">
        <v>2</v>
      </c>
      <c r="F393" t="s">
        <v>9</v>
      </c>
      <c r="G393" t="s">
        <v>4</v>
      </c>
      <c r="H393" t="s">
        <v>10</v>
      </c>
      <c r="I393" t="s">
        <v>46</v>
      </c>
      <c r="J393">
        <v>6</v>
      </c>
      <c r="K393" s="3">
        <v>961.96</v>
      </c>
      <c r="L393" s="3">
        <f>tblBelgaumOrders[[#This Row],[Quantity]]*tblBelgaumOrders[[#This Row],[Order_Amount]]</f>
        <v>5771.76</v>
      </c>
    </row>
    <row r="394" spans="1:12" x14ac:dyDescent="0.3">
      <c r="A394" t="s">
        <v>435</v>
      </c>
      <c r="B394" s="2">
        <v>45664</v>
      </c>
      <c r="C394" s="2" t="str">
        <f>TEXT(tblBelgaumOrders[[#This Row],[Order_Date]],"mmm")</f>
        <v>Jan</v>
      </c>
      <c r="D394" t="s">
        <v>20</v>
      </c>
      <c r="E394" t="s">
        <v>24</v>
      </c>
      <c r="F394" t="s">
        <v>21</v>
      </c>
      <c r="G394" t="s">
        <v>4</v>
      </c>
      <c r="H394" t="s">
        <v>10</v>
      </c>
      <c r="I394" t="s">
        <v>11</v>
      </c>
      <c r="J394">
        <v>5</v>
      </c>
      <c r="K394" s="3">
        <v>756.8</v>
      </c>
      <c r="L394" s="3">
        <f>tblBelgaumOrders[[#This Row],[Quantity]]*tblBelgaumOrders[[#This Row],[Order_Amount]]</f>
        <v>3784</v>
      </c>
    </row>
    <row r="395" spans="1:12" x14ac:dyDescent="0.3">
      <c r="A395" t="s">
        <v>436</v>
      </c>
      <c r="B395" s="2">
        <v>45789</v>
      </c>
      <c r="C395" s="2" t="str">
        <f>TEXT(tblBelgaumOrders[[#This Row],[Order_Date]],"mmm")</f>
        <v>May</v>
      </c>
      <c r="D395" t="s">
        <v>50</v>
      </c>
      <c r="E395" t="s">
        <v>2</v>
      </c>
      <c r="F395" t="s">
        <v>35</v>
      </c>
      <c r="G395" t="s">
        <v>4</v>
      </c>
      <c r="H395" t="s">
        <v>10</v>
      </c>
      <c r="I395" t="s">
        <v>18</v>
      </c>
      <c r="J395">
        <v>1</v>
      </c>
      <c r="K395" s="3">
        <v>4036.32</v>
      </c>
      <c r="L395" s="3">
        <f>tblBelgaumOrders[[#This Row],[Quantity]]*tblBelgaumOrders[[#This Row],[Order_Amount]]</f>
        <v>4036.32</v>
      </c>
    </row>
    <row r="396" spans="1:12" x14ac:dyDescent="0.3">
      <c r="A396" t="s">
        <v>437</v>
      </c>
      <c r="B396" s="2">
        <v>46004</v>
      </c>
      <c r="C396" s="2" t="str">
        <f>TEXT(tblBelgaumOrders[[#This Row],[Order_Date]],"mmm")</f>
        <v>Dec</v>
      </c>
      <c r="D396" t="s">
        <v>53</v>
      </c>
      <c r="E396" t="s">
        <v>2</v>
      </c>
      <c r="F396" t="s">
        <v>9</v>
      </c>
      <c r="G396" t="s">
        <v>17</v>
      </c>
      <c r="H396" t="s">
        <v>5</v>
      </c>
      <c r="I396" t="s">
        <v>11</v>
      </c>
      <c r="J396">
        <v>3</v>
      </c>
      <c r="K396" s="3">
        <v>0</v>
      </c>
      <c r="L396" s="3">
        <f>tblBelgaumOrders[[#This Row],[Quantity]]*tblBelgaumOrders[[#This Row],[Order_Amount]]</f>
        <v>0</v>
      </c>
    </row>
    <row r="397" spans="1:12" x14ac:dyDescent="0.3">
      <c r="A397" t="s">
        <v>438</v>
      </c>
      <c r="B397" s="2">
        <v>45745</v>
      </c>
      <c r="C397" s="2" t="str">
        <f>TEXT(tblBelgaumOrders[[#This Row],[Order_Date]],"mmm")</f>
        <v>Mar</v>
      </c>
      <c r="D397" t="s">
        <v>53</v>
      </c>
      <c r="E397" t="s">
        <v>2</v>
      </c>
      <c r="F397" t="s">
        <v>77</v>
      </c>
      <c r="G397" t="s">
        <v>4</v>
      </c>
      <c r="H397" t="s">
        <v>5</v>
      </c>
      <c r="I397" t="s">
        <v>11</v>
      </c>
      <c r="J397">
        <v>6</v>
      </c>
      <c r="K397" s="3">
        <v>4900.41</v>
      </c>
      <c r="L397" s="3">
        <f>tblBelgaumOrders[[#This Row],[Quantity]]*tblBelgaumOrders[[#This Row],[Order_Amount]]</f>
        <v>29402.46</v>
      </c>
    </row>
    <row r="398" spans="1:12" x14ac:dyDescent="0.3">
      <c r="A398" t="s">
        <v>439</v>
      </c>
      <c r="B398" s="2">
        <v>45863</v>
      </c>
      <c r="C398" s="2" t="str">
        <f>TEXT(tblBelgaumOrders[[#This Row],[Order_Date]],"mmm")</f>
        <v>Jul</v>
      </c>
      <c r="D398" t="s">
        <v>29</v>
      </c>
      <c r="E398" t="s">
        <v>24</v>
      </c>
      <c r="F398" t="s">
        <v>3</v>
      </c>
      <c r="G398" t="s">
        <v>4</v>
      </c>
      <c r="H398" t="s">
        <v>5</v>
      </c>
      <c r="I398" t="s">
        <v>18</v>
      </c>
      <c r="J398">
        <v>8</v>
      </c>
      <c r="K398" s="3">
        <v>1963.79</v>
      </c>
      <c r="L398" s="3">
        <f>tblBelgaumOrders[[#This Row],[Quantity]]*tblBelgaumOrders[[#This Row],[Order_Amount]]</f>
        <v>15710.32</v>
      </c>
    </row>
    <row r="399" spans="1:12" x14ac:dyDescent="0.3">
      <c r="A399" t="s">
        <v>440</v>
      </c>
      <c r="B399" s="2">
        <v>45688</v>
      </c>
      <c r="C399" s="2" t="str">
        <f>TEXT(tblBelgaumOrders[[#This Row],[Order_Date]],"mmm")</f>
        <v>Jan</v>
      </c>
      <c r="D399" t="s">
        <v>58</v>
      </c>
      <c r="E399" t="s">
        <v>2</v>
      </c>
      <c r="F399" t="s">
        <v>73</v>
      </c>
      <c r="G399" t="s">
        <v>4</v>
      </c>
      <c r="H399" t="s">
        <v>10</v>
      </c>
      <c r="I399" t="s">
        <v>11</v>
      </c>
      <c r="J399">
        <v>10</v>
      </c>
      <c r="K399" s="3">
        <v>4106.97</v>
      </c>
      <c r="L399" s="3">
        <f>tblBelgaumOrders[[#This Row],[Quantity]]*tblBelgaumOrders[[#This Row],[Order_Amount]]</f>
        <v>41069.700000000004</v>
      </c>
    </row>
    <row r="400" spans="1:12" x14ac:dyDescent="0.3">
      <c r="A400" t="s">
        <v>441</v>
      </c>
      <c r="B400" s="2">
        <v>45841</v>
      </c>
      <c r="C400" s="2" t="str">
        <f>TEXT(tblBelgaumOrders[[#This Row],[Order_Date]],"mmm")</f>
        <v>Jul</v>
      </c>
      <c r="D400" t="s">
        <v>67</v>
      </c>
      <c r="E400" t="s">
        <v>14</v>
      </c>
      <c r="F400" t="s">
        <v>73</v>
      </c>
      <c r="G400" t="s">
        <v>15</v>
      </c>
      <c r="H400" t="s">
        <v>5</v>
      </c>
      <c r="I400" t="s">
        <v>6</v>
      </c>
      <c r="J400">
        <v>21</v>
      </c>
      <c r="K400" s="3">
        <v>7212.67</v>
      </c>
      <c r="L400" s="3">
        <f>tblBelgaumOrders[[#This Row],[Quantity]]*tblBelgaumOrders[[#This Row],[Order_Amount]]</f>
        <v>151466.07</v>
      </c>
    </row>
    <row r="401" spans="1:12" x14ac:dyDescent="0.3">
      <c r="A401" t="s">
        <v>442</v>
      </c>
      <c r="B401" s="2">
        <v>45868</v>
      </c>
      <c r="C401" s="2" t="str">
        <f>TEXT(tblBelgaumOrders[[#This Row],[Order_Date]],"mmm")</f>
        <v>Jul</v>
      </c>
      <c r="D401" t="s">
        <v>32</v>
      </c>
      <c r="E401" t="s">
        <v>2</v>
      </c>
      <c r="F401" t="s">
        <v>3</v>
      </c>
      <c r="G401" t="s">
        <v>4</v>
      </c>
      <c r="H401" t="s">
        <v>5</v>
      </c>
      <c r="I401" t="s">
        <v>6</v>
      </c>
      <c r="J401">
        <v>10</v>
      </c>
      <c r="K401" s="3">
        <v>3079.09</v>
      </c>
      <c r="L401" s="3">
        <f>tblBelgaumOrders[[#This Row],[Quantity]]*tblBelgaumOrders[[#This Row],[Order_Amount]]</f>
        <v>30790.9</v>
      </c>
    </row>
    <row r="402" spans="1:12" x14ac:dyDescent="0.3">
      <c r="A402" t="s">
        <v>443</v>
      </c>
      <c r="B402" s="2">
        <v>45772</v>
      </c>
      <c r="C402" s="2" t="str">
        <f>TEXT(tblBelgaumOrders[[#This Row],[Order_Date]],"mmm")</f>
        <v>Apr</v>
      </c>
      <c r="D402" t="s">
        <v>53</v>
      </c>
      <c r="E402" t="s">
        <v>2</v>
      </c>
      <c r="F402" t="s">
        <v>26</v>
      </c>
      <c r="G402" t="s">
        <v>4</v>
      </c>
      <c r="H402" t="s">
        <v>10</v>
      </c>
      <c r="I402" t="s">
        <v>18</v>
      </c>
      <c r="J402">
        <v>8</v>
      </c>
      <c r="K402" s="3">
        <v>4136.18</v>
      </c>
      <c r="L402" s="3">
        <f>tblBelgaumOrders[[#This Row],[Quantity]]*tblBelgaumOrders[[#This Row],[Order_Amount]]</f>
        <v>33089.440000000002</v>
      </c>
    </row>
    <row r="403" spans="1:12" x14ac:dyDescent="0.3">
      <c r="A403" t="s">
        <v>444</v>
      </c>
      <c r="B403" s="2">
        <v>46004</v>
      </c>
      <c r="C403" s="2" t="str">
        <f>TEXT(tblBelgaumOrders[[#This Row],[Order_Date]],"mmm")</f>
        <v>Dec</v>
      </c>
      <c r="D403" t="s">
        <v>29</v>
      </c>
      <c r="E403" t="s">
        <v>2</v>
      </c>
      <c r="F403" t="s">
        <v>21</v>
      </c>
      <c r="G403" t="s">
        <v>17</v>
      </c>
      <c r="H403" t="s">
        <v>5</v>
      </c>
      <c r="I403" t="s">
        <v>11</v>
      </c>
      <c r="J403">
        <v>3</v>
      </c>
      <c r="K403" s="3">
        <v>0</v>
      </c>
      <c r="L403" s="3">
        <f>tblBelgaumOrders[[#This Row],[Quantity]]*tblBelgaumOrders[[#This Row],[Order_Amount]]</f>
        <v>0</v>
      </c>
    </row>
    <row r="404" spans="1:12" x14ac:dyDescent="0.3">
      <c r="A404" t="s">
        <v>445</v>
      </c>
      <c r="B404" s="2">
        <v>45898</v>
      </c>
      <c r="C404" s="2" t="str">
        <f>TEXT(tblBelgaumOrders[[#This Row],[Order_Date]],"mmm")</f>
        <v>Aug</v>
      </c>
      <c r="D404" t="s">
        <v>55</v>
      </c>
      <c r="E404" t="s">
        <v>14</v>
      </c>
      <c r="F404" t="s">
        <v>9</v>
      </c>
      <c r="G404" t="s">
        <v>4</v>
      </c>
      <c r="H404" t="s">
        <v>10</v>
      </c>
      <c r="I404" t="s">
        <v>82</v>
      </c>
      <c r="J404">
        <v>7</v>
      </c>
      <c r="K404" s="3">
        <v>1328.24</v>
      </c>
      <c r="L404" s="3">
        <f>tblBelgaumOrders[[#This Row],[Quantity]]*tblBelgaumOrders[[#This Row],[Order_Amount]]</f>
        <v>9297.68</v>
      </c>
    </row>
    <row r="405" spans="1:12" x14ac:dyDescent="0.3">
      <c r="A405" t="s">
        <v>446</v>
      </c>
      <c r="B405" s="2">
        <v>45939</v>
      </c>
      <c r="C405" s="2" t="str">
        <f>TEXT(tblBelgaumOrders[[#This Row],[Order_Date]],"mmm")</f>
        <v>Oct</v>
      </c>
      <c r="D405" t="s">
        <v>29</v>
      </c>
      <c r="E405" t="s">
        <v>2</v>
      </c>
      <c r="F405" t="s">
        <v>3</v>
      </c>
      <c r="G405" t="s">
        <v>4</v>
      </c>
      <c r="H405" t="s">
        <v>5</v>
      </c>
      <c r="I405" t="s">
        <v>11</v>
      </c>
      <c r="J405">
        <v>8</v>
      </c>
      <c r="K405" s="3">
        <v>2117.94</v>
      </c>
      <c r="L405" s="3">
        <f>tblBelgaumOrders[[#This Row],[Quantity]]*tblBelgaumOrders[[#This Row],[Order_Amount]]</f>
        <v>16943.52</v>
      </c>
    </row>
    <row r="406" spans="1:12" x14ac:dyDescent="0.3">
      <c r="A406" t="s">
        <v>447</v>
      </c>
      <c r="B406" s="2">
        <v>45718</v>
      </c>
      <c r="C406" s="2" t="str">
        <f>TEXT(tblBelgaumOrders[[#This Row],[Order_Date]],"mmm")</f>
        <v>Mar</v>
      </c>
      <c r="D406" t="s">
        <v>55</v>
      </c>
      <c r="E406" t="s">
        <v>14</v>
      </c>
      <c r="F406" t="s">
        <v>9</v>
      </c>
      <c r="G406" t="s">
        <v>4</v>
      </c>
      <c r="H406" t="s">
        <v>10</v>
      </c>
      <c r="I406" t="s">
        <v>6</v>
      </c>
      <c r="J406">
        <v>8</v>
      </c>
      <c r="K406" s="3">
        <v>1764.1</v>
      </c>
      <c r="L406" s="3">
        <f>tblBelgaumOrders[[#This Row],[Quantity]]*tblBelgaumOrders[[#This Row],[Order_Amount]]</f>
        <v>14112.8</v>
      </c>
    </row>
    <row r="407" spans="1:12" x14ac:dyDescent="0.3">
      <c r="A407" t="s">
        <v>448</v>
      </c>
      <c r="B407" s="2">
        <v>45974</v>
      </c>
      <c r="C407" s="2" t="str">
        <f>TEXT(tblBelgaumOrders[[#This Row],[Order_Date]],"mmm")</f>
        <v>Nov</v>
      </c>
      <c r="D407" t="s">
        <v>23</v>
      </c>
      <c r="E407" t="s">
        <v>14</v>
      </c>
      <c r="F407" t="s">
        <v>37</v>
      </c>
      <c r="G407" t="s">
        <v>4</v>
      </c>
      <c r="H407" t="s">
        <v>10</v>
      </c>
      <c r="I407" t="s">
        <v>11</v>
      </c>
      <c r="J407">
        <v>7</v>
      </c>
      <c r="K407" s="3">
        <v>1909.53</v>
      </c>
      <c r="L407" s="3">
        <f>tblBelgaumOrders[[#This Row],[Quantity]]*tblBelgaumOrders[[#This Row],[Order_Amount]]</f>
        <v>13366.71</v>
      </c>
    </row>
    <row r="408" spans="1:12" x14ac:dyDescent="0.3">
      <c r="A408" t="s">
        <v>449</v>
      </c>
      <c r="B408" s="2">
        <v>45890</v>
      </c>
      <c r="C408" s="2" t="str">
        <f>TEXT(tblBelgaumOrders[[#This Row],[Order_Date]],"mmm")</f>
        <v>Aug</v>
      </c>
      <c r="D408" t="s">
        <v>53</v>
      </c>
      <c r="E408" t="s">
        <v>2</v>
      </c>
      <c r="F408" t="s">
        <v>37</v>
      </c>
      <c r="G408" t="s">
        <v>4</v>
      </c>
      <c r="H408" t="s">
        <v>5</v>
      </c>
      <c r="I408" t="s">
        <v>6</v>
      </c>
      <c r="J408">
        <v>2</v>
      </c>
      <c r="K408" s="3">
        <v>355.72</v>
      </c>
      <c r="L408" s="3">
        <f>tblBelgaumOrders[[#This Row],[Quantity]]*tblBelgaumOrders[[#This Row],[Order_Amount]]</f>
        <v>711.44</v>
      </c>
    </row>
    <row r="409" spans="1:12" x14ac:dyDescent="0.3">
      <c r="A409" t="s">
        <v>450</v>
      </c>
      <c r="B409" s="2">
        <v>45995</v>
      </c>
      <c r="C409" s="2" t="str">
        <f>TEXT(tblBelgaumOrders[[#This Row],[Order_Date]],"mmm")</f>
        <v>Dec</v>
      </c>
      <c r="D409" t="s">
        <v>50</v>
      </c>
      <c r="E409" t="s">
        <v>2</v>
      </c>
      <c r="F409" t="s">
        <v>51</v>
      </c>
      <c r="G409" t="s">
        <v>4</v>
      </c>
      <c r="H409" t="s">
        <v>5</v>
      </c>
      <c r="I409" t="s">
        <v>6</v>
      </c>
      <c r="J409">
        <v>2</v>
      </c>
      <c r="K409" s="3">
        <v>4216.53</v>
      </c>
      <c r="L409" s="3">
        <f>tblBelgaumOrders[[#This Row],[Quantity]]*tblBelgaumOrders[[#This Row],[Order_Amount]]</f>
        <v>8433.06</v>
      </c>
    </row>
    <row r="410" spans="1:12" x14ac:dyDescent="0.3">
      <c r="A410" t="s">
        <v>451</v>
      </c>
      <c r="B410" s="2">
        <v>45910</v>
      </c>
      <c r="C410" s="2" t="str">
        <f>TEXT(tblBelgaumOrders[[#This Row],[Order_Date]],"mmm")</f>
        <v>Sep</v>
      </c>
      <c r="D410" t="s">
        <v>75</v>
      </c>
      <c r="E410" t="s">
        <v>14</v>
      </c>
      <c r="F410" t="s">
        <v>40</v>
      </c>
      <c r="G410" t="s">
        <v>4</v>
      </c>
      <c r="H410" t="s">
        <v>10</v>
      </c>
      <c r="I410" t="s">
        <v>11</v>
      </c>
      <c r="J410">
        <v>9</v>
      </c>
      <c r="K410" s="3">
        <v>1883.71</v>
      </c>
      <c r="L410" s="3">
        <f>tblBelgaumOrders[[#This Row],[Quantity]]*tblBelgaumOrders[[#This Row],[Order_Amount]]</f>
        <v>16953.39</v>
      </c>
    </row>
    <row r="411" spans="1:12" x14ac:dyDescent="0.3">
      <c r="A411" t="s">
        <v>452</v>
      </c>
      <c r="B411" s="2">
        <v>45859</v>
      </c>
      <c r="C411" s="2" t="str">
        <f>TEXT(tblBelgaumOrders[[#This Row],[Order_Date]],"mmm")</f>
        <v>Jul</v>
      </c>
      <c r="D411" t="s">
        <v>48</v>
      </c>
      <c r="E411" t="s">
        <v>2</v>
      </c>
      <c r="F411" t="s">
        <v>40</v>
      </c>
      <c r="G411" t="s">
        <v>15</v>
      </c>
      <c r="H411" t="s">
        <v>10</v>
      </c>
      <c r="I411" t="s">
        <v>11</v>
      </c>
      <c r="J411">
        <v>10</v>
      </c>
      <c r="K411" s="3">
        <v>1318.29</v>
      </c>
      <c r="L411" s="3">
        <f>tblBelgaumOrders[[#This Row],[Quantity]]*tblBelgaumOrders[[#This Row],[Order_Amount]]</f>
        <v>13182.9</v>
      </c>
    </row>
    <row r="412" spans="1:12" x14ac:dyDescent="0.3">
      <c r="A412" t="s">
        <v>453</v>
      </c>
      <c r="B412" s="2">
        <v>45888</v>
      </c>
      <c r="C412" s="2" t="str">
        <f>TEXT(tblBelgaumOrders[[#This Row],[Order_Date]],"mmm")</f>
        <v>Aug</v>
      </c>
      <c r="D412" t="s">
        <v>32</v>
      </c>
      <c r="E412" t="s">
        <v>14</v>
      </c>
      <c r="F412" t="s">
        <v>35</v>
      </c>
      <c r="G412" t="s">
        <v>4</v>
      </c>
      <c r="H412" t="s">
        <v>10</v>
      </c>
      <c r="I412" t="s">
        <v>6</v>
      </c>
      <c r="J412">
        <v>7</v>
      </c>
      <c r="K412" s="3">
        <v>24235.360000000001</v>
      </c>
      <c r="L412" s="3">
        <f>tblBelgaumOrders[[#This Row],[Quantity]]*tblBelgaumOrders[[#This Row],[Order_Amount]]</f>
        <v>169647.52000000002</v>
      </c>
    </row>
    <row r="413" spans="1:12" x14ac:dyDescent="0.3">
      <c r="A413" t="s">
        <v>454</v>
      </c>
      <c r="B413" s="2">
        <v>45957</v>
      </c>
      <c r="C413" s="2" t="str">
        <f>TEXT(tblBelgaumOrders[[#This Row],[Order_Date]],"mmm")</f>
        <v>Oct</v>
      </c>
      <c r="D413" t="s">
        <v>55</v>
      </c>
      <c r="E413" t="s">
        <v>24</v>
      </c>
      <c r="F413" t="s">
        <v>40</v>
      </c>
      <c r="G413" t="s">
        <v>17</v>
      </c>
      <c r="H413" t="s">
        <v>5</v>
      </c>
      <c r="I413" t="s">
        <v>11</v>
      </c>
      <c r="J413">
        <v>7</v>
      </c>
      <c r="K413" s="3">
        <v>0</v>
      </c>
      <c r="L413" s="3">
        <f>tblBelgaumOrders[[#This Row],[Quantity]]*tblBelgaumOrders[[#This Row],[Order_Amount]]</f>
        <v>0</v>
      </c>
    </row>
    <row r="414" spans="1:12" x14ac:dyDescent="0.3">
      <c r="A414" t="s">
        <v>455</v>
      </c>
      <c r="B414" s="2">
        <v>45968</v>
      </c>
      <c r="C414" s="2" t="str">
        <f>TEXT(tblBelgaumOrders[[#This Row],[Order_Date]],"mmm")</f>
        <v>Nov</v>
      </c>
      <c r="D414" t="s">
        <v>53</v>
      </c>
      <c r="E414" t="s">
        <v>2</v>
      </c>
      <c r="F414" t="s">
        <v>51</v>
      </c>
      <c r="G414" t="s">
        <v>30</v>
      </c>
      <c r="H414" t="s">
        <v>63</v>
      </c>
      <c r="I414" t="s">
        <v>18</v>
      </c>
      <c r="J414">
        <v>5</v>
      </c>
      <c r="K414" s="3">
        <v>8898.5</v>
      </c>
      <c r="L414" s="3">
        <f>tblBelgaumOrders[[#This Row],[Quantity]]*tblBelgaumOrders[[#This Row],[Order_Amount]]</f>
        <v>44492.5</v>
      </c>
    </row>
    <row r="415" spans="1:12" x14ac:dyDescent="0.3">
      <c r="A415" t="s">
        <v>456</v>
      </c>
      <c r="B415" s="2">
        <v>45808</v>
      </c>
      <c r="C415" s="2" t="str">
        <f>TEXT(tblBelgaumOrders[[#This Row],[Order_Date]],"mmm")</f>
        <v>May</v>
      </c>
      <c r="D415" t="s">
        <v>32</v>
      </c>
      <c r="E415" t="s">
        <v>14</v>
      </c>
      <c r="F415" t="s">
        <v>9</v>
      </c>
      <c r="G415" t="s">
        <v>4</v>
      </c>
      <c r="H415" t="s">
        <v>5</v>
      </c>
      <c r="I415" t="s">
        <v>6</v>
      </c>
      <c r="J415">
        <v>23</v>
      </c>
      <c r="K415" s="3">
        <v>5243</v>
      </c>
      <c r="L415" s="3">
        <f>tblBelgaumOrders[[#This Row],[Quantity]]*tblBelgaumOrders[[#This Row],[Order_Amount]]</f>
        <v>120589</v>
      </c>
    </row>
    <row r="416" spans="1:12" x14ac:dyDescent="0.3">
      <c r="A416" t="s">
        <v>457</v>
      </c>
      <c r="B416" s="2">
        <v>45941</v>
      </c>
      <c r="C416" s="2" t="str">
        <f>TEXT(tblBelgaumOrders[[#This Row],[Order_Date]],"mmm")</f>
        <v>Oct</v>
      </c>
      <c r="D416" t="s">
        <v>48</v>
      </c>
      <c r="E416" t="s">
        <v>2</v>
      </c>
      <c r="F416" t="s">
        <v>26</v>
      </c>
      <c r="G416" t="s">
        <v>4</v>
      </c>
      <c r="H416" t="s">
        <v>10</v>
      </c>
      <c r="I416" t="s">
        <v>6</v>
      </c>
      <c r="J416">
        <v>3</v>
      </c>
      <c r="K416" s="3">
        <v>1704.78</v>
      </c>
      <c r="L416" s="3">
        <f>tblBelgaumOrders[[#This Row],[Quantity]]*tblBelgaumOrders[[#This Row],[Order_Amount]]</f>
        <v>5114.34</v>
      </c>
    </row>
    <row r="417" spans="1:12" x14ac:dyDescent="0.3">
      <c r="A417" t="s">
        <v>458</v>
      </c>
      <c r="B417" s="2">
        <v>45984</v>
      </c>
      <c r="C417" s="2" t="str">
        <f>TEXT(tblBelgaumOrders[[#This Row],[Order_Date]],"mmm")</f>
        <v>Nov</v>
      </c>
      <c r="D417" t="s">
        <v>53</v>
      </c>
      <c r="E417" t="s">
        <v>14</v>
      </c>
      <c r="F417" t="s">
        <v>40</v>
      </c>
      <c r="G417" t="s">
        <v>4</v>
      </c>
      <c r="H417" t="s">
        <v>5</v>
      </c>
      <c r="I417" t="s">
        <v>46</v>
      </c>
      <c r="J417">
        <v>19</v>
      </c>
      <c r="K417" s="3">
        <v>3509.82</v>
      </c>
      <c r="L417" s="3">
        <f>tblBelgaumOrders[[#This Row],[Quantity]]*tblBelgaumOrders[[#This Row],[Order_Amount]]</f>
        <v>66686.58</v>
      </c>
    </row>
    <row r="418" spans="1:12" x14ac:dyDescent="0.3">
      <c r="A418" t="s">
        <v>459</v>
      </c>
      <c r="B418" s="2">
        <v>45931</v>
      </c>
      <c r="C418" s="2" t="str">
        <f>TEXT(tblBelgaumOrders[[#This Row],[Order_Date]],"mmm")</f>
        <v>Oct</v>
      </c>
      <c r="D418" t="s">
        <v>23</v>
      </c>
      <c r="E418" t="s">
        <v>14</v>
      </c>
      <c r="F418" t="s">
        <v>77</v>
      </c>
      <c r="G418" t="s">
        <v>4</v>
      </c>
      <c r="H418" t="s">
        <v>10</v>
      </c>
      <c r="I418" t="s">
        <v>11</v>
      </c>
      <c r="J418">
        <v>7</v>
      </c>
      <c r="K418" s="3">
        <v>7661.81</v>
      </c>
      <c r="L418" s="3">
        <f>tblBelgaumOrders[[#This Row],[Quantity]]*tblBelgaumOrders[[#This Row],[Order_Amount]]</f>
        <v>53632.670000000006</v>
      </c>
    </row>
    <row r="419" spans="1:12" x14ac:dyDescent="0.3">
      <c r="A419" t="s">
        <v>460</v>
      </c>
      <c r="B419" s="2">
        <v>45760</v>
      </c>
      <c r="C419" s="2" t="str">
        <f>TEXT(tblBelgaumOrders[[#This Row],[Order_Date]],"mmm")</f>
        <v>Apr</v>
      </c>
      <c r="D419" t="s">
        <v>13</v>
      </c>
      <c r="E419" t="s">
        <v>14</v>
      </c>
      <c r="F419" t="s">
        <v>9</v>
      </c>
      <c r="G419" t="s">
        <v>4</v>
      </c>
      <c r="H419" t="s">
        <v>10</v>
      </c>
      <c r="I419" t="s">
        <v>18</v>
      </c>
      <c r="J419">
        <v>15</v>
      </c>
      <c r="K419" s="3">
        <v>2355.48</v>
      </c>
      <c r="L419" s="3">
        <f>tblBelgaumOrders[[#This Row],[Quantity]]*tblBelgaumOrders[[#This Row],[Order_Amount]]</f>
        <v>35332.199999999997</v>
      </c>
    </row>
    <row r="420" spans="1:12" x14ac:dyDescent="0.3">
      <c r="A420" t="s">
        <v>461</v>
      </c>
      <c r="B420" s="2">
        <v>45935</v>
      </c>
      <c r="C420" s="2" t="str">
        <f>TEXT(tblBelgaumOrders[[#This Row],[Order_Date]],"mmm")</f>
        <v>Oct</v>
      </c>
      <c r="D420" t="s">
        <v>8</v>
      </c>
      <c r="E420" t="s">
        <v>2</v>
      </c>
      <c r="F420" t="s">
        <v>77</v>
      </c>
      <c r="G420" t="s">
        <v>4</v>
      </c>
      <c r="H420" t="s">
        <v>5</v>
      </c>
      <c r="I420" t="s">
        <v>6</v>
      </c>
      <c r="J420">
        <v>4</v>
      </c>
      <c r="K420" s="3">
        <v>4542.7</v>
      </c>
      <c r="L420" s="3">
        <f>tblBelgaumOrders[[#This Row],[Quantity]]*tblBelgaumOrders[[#This Row],[Order_Amount]]</f>
        <v>18170.8</v>
      </c>
    </row>
    <row r="421" spans="1:12" x14ac:dyDescent="0.3">
      <c r="A421" t="s">
        <v>462</v>
      </c>
      <c r="B421" s="2">
        <v>45945</v>
      </c>
      <c r="C421" s="2" t="str">
        <f>TEXT(tblBelgaumOrders[[#This Row],[Order_Date]],"mmm")</f>
        <v>Oct</v>
      </c>
      <c r="D421" t="s">
        <v>29</v>
      </c>
      <c r="E421" t="s">
        <v>2</v>
      </c>
      <c r="F421" t="s">
        <v>40</v>
      </c>
      <c r="G421" t="s">
        <v>15</v>
      </c>
      <c r="H421" t="s">
        <v>10</v>
      </c>
      <c r="I421" t="s">
        <v>6</v>
      </c>
      <c r="J421">
        <v>7</v>
      </c>
      <c r="K421" s="3">
        <v>1100.44</v>
      </c>
      <c r="L421" s="3">
        <f>tblBelgaumOrders[[#This Row],[Quantity]]*tblBelgaumOrders[[#This Row],[Order_Amount]]</f>
        <v>7703.08</v>
      </c>
    </row>
    <row r="422" spans="1:12" x14ac:dyDescent="0.3">
      <c r="A422" t="s">
        <v>463</v>
      </c>
      <c r="B422" s="2">
        <v>45818</v>
      </c>
      <c r="C422" s="2" t="str">
        <f>TEXT(tblBelgaumOrders[[#This Row],[Order_Date]],"mmm")</f>
        <v>Jun</v>
      </c>
      <c r="D422" t="s">
        <v>39</v>
      </c>
      <c r="E422" t="s">
        <v>2</v>
      </c>
      <c r="F422" t="s">
        <v>40</v>
      </c>
      <c r="G422" t="s">
        <v>4</v>
      </c>
      <c r="H422" t="s">
        <v>5</v>
      </c>
      <c r="I422" t="s">
        <v>18</v>
      </c>
      <c r="J422">
        <v>8</v>
      </c>
      <c r="K422" s="3">
        <v>1597.43</v>
      </c>
      <c r="L422" s="3">
        <f>tblBelgaumOrders[[#This Row],[Quantity]]*tblBelgaumOrders[[#This Row],[Order_Amount]]</f>
        <v>12779.44</v>
      </c>
    </row>
    <row r="423" spans="1:12" x14ac:dyDescent="0.3">
      <c r="A423" t="s">
        <v>464</v>
      </c>
      <c r="B423" s="2">
        <v>45982</v>
      </c>
      <c r="C423" s="2" t="str">
        <f>TEXT(tblBelgaumOrders[[#This Row],[Order_Date]],"mmm")</f>
        <v>Nov</v>
      </c>
      <c r="D423" t="s">
        <v>34</v>
      </c>
      <c r="E423" t="s">
        <v>14</v>
      </c>
      <c r="F423" t="s">
        <v>37</v>
      </c>
      <c r="G423" t="s">
        <v>4</v>
      </c>
      <c r="H423" t="s">
        <v>5</v>
      </c>
      <c r="I423" t="s">
        <v>82</v>
      </c>
      <c r="J423">
        <v>15</v>
      </c>
      <c r="K423" s="3">
        <v>3363.65</v>
      </c>
      <c r="L423" s="3">
        <f>tblBelgaumOrders[[#This Row],[Quantity]]*tblBelgaumOrders[[#This Row],[Order_Amount]]</f>
        <v>50454.75</v>
      </c>
    </row>
    <row r="424" spans="1:12" x14ac:dyDescent="0.3">
      <c r="A424" t="s">
        <v>465</v>
      </c>
      <c r="B424" s="2">
        <v>45696</v>
      </c>
      <c r="C424" s="2" t="str">
        <f>TEXT(tblBelgaumOrders[[#This Row],[Order_Date]],"mmm")</f>
        <v>Feb</v>
      </c>
      <c r="D424" t="s">
        <v>58</v>
      </c>
      <c r="E424" t="s">
        <v>24</v>
      </c>
      <c r="F424" t="s">
        <v>40</v>
      </c>
      <c r="G424" t="s">
        <v>4</v>
      </c>
      <c r="H424" t="s">
        <v>10</v>
      </c>
      <c r="I424" t="s">
        <v>11</v>
      </c>
      <c r="J424">
        <v>11</v>
      </c>
      <c r="K424" s="3">
        <v>1657.88</v>
      </c>
      <c r="L424" s="3">
        <f>tblBelgaumOrders[[#This Row],[Quantity]]*tblBelgaumOrders[[#This Row],[Order_Amount]]</f>
        <v>18236.68</v>
      </c>
    </row>
    <row r="425" spans="1:12" x14ac:dyDescent="0.3">
      <c r="A425" t="s">
        <v>466</v>
      </c>
      <c r="B425" s="2">
        <v>45788</v>
      </c>
      <c r="C425" s="2" t="str">
        <f>TEXT(tblBelgaumOrders[[#This Row],[Order_Date]],"mmm")</f>
        <v>May</v>
      </c>
      <c r="D425" t="s">
        <v>67</v>
      </c>
      <c r="E425" t="s">
        <v>2</v>
      </c>
      <c r="F425" t="s">
        <v>40</v>
      </c>
      <c r="G425" t="s">
        <v>4</v>
      </c>
      <c r="H425" t="s">
        <v>10</v>
      </c>
      <c r="I425" t="s">
        <v>11</v>
      </c>
      <c r="J425">
        <v>1</v>
      </c>
      <c r="K425" s="3">
        <v>194.27</v>
      </c>
      <c r="L425" s="3">
        <f>tblBelgaumOrders[[#This Row],[Quantity]]*tblBelgaumOrders[[#This Row],[Order_Amount]]</f>
        <v>194.27</v>
      </c>
    </row>
    <row r="426" spans="1:12" x14ac:dyDescent="0.3">
      <c r="A426" t="s">
        <v>467</v>
      </c>
      <c r="B426" s="2">
        <v>45978</v>
      </c>
      <c r="C426" s="2" t="str">
        <f>TEXT(tblBelgaumOrders[[#This Row],[Order_Date]],"mmm")</f>
        <v>Nov</v>
      </c>
      <c r="D426" t="s">
        <v>23</v>
      </c>
      <c r="E426" t="s">
        <v>2</v>
      </c>
      <c r="F426" t="s">
        <v>37</v>
      </c>
      <c r="G426" t="s">
        <v>4</v>
      </c>
      <c r="H426" t="s">
        <v>5</v>
      </c>
      <c r="I426" t="s">
        <v>11</v>
      </c>
      <c r="J426">
        <v>4</v>
      </c>
      <c r="K426" s="3">
        <v>1165.29</v>
      </c>
      <c r="L426" s="3">
        <f>tblBelgaumOrders[[#This Row],[Quantity]]*tblBelgaumOrders[[#This Row],[Order_Amount]]</f>
        <v>4661.16</v>
      </c>
    </row>
    <row r="427" spans="1:12" x14ac:dyDescent="0.3">
      <c r="A427" t="s">
        <v>468</v>
      </c>
      <c r="B427" s="2">
        <v>45924</v>
      </c>
      <c r="C427" s="2" t="str">
        <f>TEXT(tblBelgaumOrders[[#This Row],[Order_Date]],"mmm")</f>
        <v>Sep</v>
      </c>
      <c r="D427" t="s">
        <v>20</v>
      </c>
      <c r="E427" t="s">
        <v>14</v>
      </c>
      <c r="F427" t="s">
        <v>9</v>
      </c>
      <c r="G427" t="s">
        <v>4</v>
      </c>
      <c r="H427" t="s">
        <v>10</v>
      </c>
      <c r="I427" t="s">
        <v>11</v>
      </c>
      <c r="J427">
        <v>12</v>
      </c>
      <c r="K427" s="3">
        <v>2479.6799999999998</v>
      </c>
      <c r="L427" s="3">
        <f>tblBelgaumOrders[[#This Row],[Quantity]]*tblBelgaumOrders[[#This Row],[Order_Amount]]</f>
        <v>29756.159999999996</v>
      </c>
    </row>
    <row r="428" spans="1:12" x14ac:dyDescent="0.3">
      <c r="A428" t="s">
        <v>469</v>
      </c>
      <c r="B428" s="2">
        <v>45827</v>
      </c>
      <c r="C428" s="2" t="str">
        <f>TEXT(tblBelgaumOrders[[#This Row],[Order_Date]],"mmm")</f>
        <v>Jun</v>
      </c>
      <c r="D428" t="s">
        <v>34</v>
      </c>
      <c r="E428" t="s">
        <v>2</v>
      </c>
      <c r="F428" t="s">
        <v>35</v>
      </c>
      <c r="G428" t="s">
        <v>4</v>
      </c>
      <c r="H428" t="s">
        <v>10</v>
      </c>
      <c r="I428" t="s">
        <v>6</v>
      </c>
      <c r="J428">
        <v>1</v>
      </c>
      <c r="K428" s="3">
        <v>2620.27</v>
      </c>
      <c r="L428" s="3">
        <f>tblBelgaumOrders[[#This Row],[Quantity]]*tblBelgaumOrders[[#This Row],[Order_Amount]]</f>
        <v>2620.27</v>
      </c>
    </row>
    <row r="429" spans="1:12" x14ac:dyDescent="0.3">
      <c r="A429" t="s">
        <v>470</v>
      </c>
      <c r="B429" s="2">
        <v>45781</v>
      </c>
      <c r="C429" s="2" t="str">
        <f>TEXT(tblBelgaumOrders[[#This Row],[Order_Date]],"mmm")</f>
        <v>May</v>
      </c>
      <c r="D429" t="s">
        <v>50</v>
      </c>
      <c r="E429" t="s">
        <v>24</v>
      </c>
      <c r="F429" t="s">
        <v>26</v>
      </c>
      <c r="G429" t="s">
        <v>4</v>
      </c>
      <c r="H429" t="s">
        <v>63</v>
      </c>
      <c r="I429" t="s">
        <v>46</v>
      </c>
      <c r="J429">
        <v>15</v>
      </c>
      <c r="K429" s="3">
        <v>8483.2800000000007</v>
      </c>
      <c r="L429" s="3">
        <f>tblBelgaumOrders[[#This Row],[Quantity]]*tblBelgaumOrders[[#This Row],[Order_Amount]]</f>
        <v>127249.20000000001</v>
      </c>
    </row>
    <row r="430" spans="1:12" x14ac:dyDescent="0.3">
      <c r="A430" t="s">
        <v>471</v>
      </c>
      <c r="B430" s="2">
        <v>45670</v>
      </c>
      <c r="C430" s="2" t="str">
        <f>TEXT(tblBelgaumOrders[[#This Row],[Order_Date]],"mmm")</f>
        <v>Jan</v>
      </c>
      <c r="D430" t="s">
        <v>42</v>
      </c>
      <c r="E430" t="s">
        <v>14</v>
      </c>
      <c r="F430" t="s">
        <v>51</v>
      </c>
      <c r="G430" t="s">
        <v>15</v>
      </c>
      <c r="H430" t="s">
        <v>10</v>
      </c>
      <c r="I430" t="s">
        <v>11</v>
      </c>
      <c r="J430">
        <v>1</v>
      </c>
      <c r="K430" s="3">
        <v>1695.94</v>
      </c>
      <c r="L430" s="3">
        <f>tblBelgaumOrders[[#This Row],[Quantity]]*tblBelgaumOrders[[#This Row],[Order_Amount]]</f>
        <v>1695.94</v>
      </c>
    </row>
    <row r="431" spans="1:12" x14ac:dyDescent="0.3">
      <c r="A431" t="s">
        <v>472</v>
      </c>
      <c r="B431" s="2">
        <v>45743</v>
      </c>
      <c r="C431" s="2" t="str">
        <f>TEXT(tblBelgaumOrders[[#This Row],[Order_Date]],"mmm")</f>
        <v>Mar</v>
      </c>
      <c r="D431" t="s">
        <v>39</v>
      </c>
      <c r="E431" t="s">
        <v>2</v>
      </c>
      <c r="F431" t="s">
        <v>26</v>
      </c>
      <c r="G431" t="s">
        <v>4</v>
      </c>
      <c r="H431" t="s">
        <v>5</v>
      </c>
      <c r="I431" t="s">
        <v>11</v>
      </c>
      <c r="J431">
        <v>7</v>
      </c>
      <c r="K431" s="3">
        <v>4730.29</v>
      </c>
      <c r="L431" s="3">
        <f>tblBelgaumOrders[[#This Row],[Quantity]]*tblBelgaumOrders[[#This Row],[Order_Amount]]</f>
        <v>33112.03</v>
      </c>
    </row>
    <row r="432" spans="1:12" x14ac:dyDescent="0.3">
      <c r="A432" t="s">
        <v>473</v>
      </c>
      <c r="B432" s="2">
        <v>45763</v>
      </c>
      <c r="C432" s="2" t="str">
        <f>TEXT(tblBelgaumOrders[[#This Row],[Order_Date]],"mmm")</f>
        <v>Apr</v>
      </c>
      <c r="D432" t="s">
        <v>39</v>
      </c>
      <c r="E432" t="s">
        <v>14</v>
      </c>
      <c r="F432" t="s">
        <v>73</v>
      </c>
      <c r="G432" t="s">
        <v>15</v>
      </c>
      <c r="H432" t="s">
        <v>10</v>
      </c>
      <c r="I432" t="s">
        <v>18</v>
      </c>
      <c r="J432">
        <v>8</v>
      </c>
      <c r="K432" s="3">
        <v>4025.73</v>
      </c>
      <c r="L432" s="3">
        <f>tblBelgaumOrders[[#This Row],[Quantity]]*tblBelgaumOrders[[#This Row],[Order_Amount]]</f>
        <v>32205.84</v>
      </c>
    </row>
    <row r="433" spans="1:12" x14ac:dyDescent="0.3">
      <c r="A433" t="s">
        <v>474</v>
      </c>
      <c r="B433" s="2">
        <v>45736</v>
      </c>
      <c r="C433" s="2" t="str">
        <f>TEXT(tblBelgaumOrders[[#This Row],[Order_Date]],"mmm")</f>
        <v>Mar</v>
      </c>
      <c r="D433" t="s">
        <v>67</v>
      </c>
      <c r="E433" t="s">
        <v>2</v>
      </c>
      <c r="F433" t="s">
        <v>51</v>
      </c>
      <c r="G433" t="s">
        <v>4</v>
      </c>
      <c r="H433" t="s">
        <v>10</v>
      </c>
      <c r="I433" t="s">
        <v>18</v>
      </c>
      <c r="J433">
        <v>9</v>
      </c>
      <c r="K433" s="3">
        <v>12834.7</v>
      </c>
      <c r="L433" s="3">
        <f>tblBelgaumOrders[[#This Row],[Quantity]]*tblBelgaumOrders[[#This Row],[Order_Amount]]</f>
        <v>115512.3</v>
      </c>
    </row>
    <row r="434" spans="1:12" x14ac:dyDescent="0.3">
      <c r="A434" t="s">
        <v>475</v>
      </c>
      <c r="B434" s="2">
        <v>45790</v>
      </c>
      <c r="C434" s="2" t="str">
        <f>TEXT(tblBelgaumOrders[[#This Row],[Order_Date]],"mmm")</f>
        <v>May</v>
      </c>
      <c r="D434" t="s">
        <v>79</v>
      </c>
      <c r="E434" t="s">
        <v>2</v>
      </c>
      <c r="F434" t="s">
        <v>26</v>
      </c>
      <c r="G434" t="s">
        <v>4</v>
      </c>
      <c r="H434" t="s">
        <v>10</v>
      </c>
      <c r="I434" t="s">
        <v>6</v>
      </c>
      <c r="J434">
        <v>9</v>
      </c>
      <c r="K434" s="3">
        <v>3662.2</v>
      </c>
      <c r="L434" s="3">
        <f>tblBelgaumOrders[[#This Row],[Quantity]]*tblBelgaumOrders[[#This Row],[Order_Amount]]</f>
        <v>32959.799999999996</v>
      </c>
    </row>
    <row r="435" spans="1:12" x14ac:dyDescent="0.3">
      <c r="A435" t="s">
        <v>476</v>
      </c>
      <c r="B435" s="2">
        <v>45974</v>
      </c>
      <c r="C435" s="2" t="str">
        <f>TEXT(tblBelgaumOrders[[#This Row],[Order_Date]],"mmm")</f>
        <v>Nov</v>
      </c>
      <c r="D435" t="s">
        <v>20</v>
      </c>
      <c r="E435" t="s">
        <v>14</v>
      </c>
      <c r="F435" t="s">
        <v>37</v>
      </c>
      <c r="G435" t="s">
        <v>15</v>
      </c>
      <c r="H435" t="s">
        <v>10</v>
      </c>
      <c r="I435" t="s">
        <v>46</v>
      </c>
      <c r="J435">
        <v>9</v>
      </c>
      <c r="K435" s="3">
        <v>1829.33</v>
      </c>
      <c r="L435" s="3">
        <f>tblBelgaumOrders[[#This Row],[Quantity]]*tblBelgaumOrders[[#This Row],[Order_Amount]]</f>
        <v>16463.97</v>
      </c>
    </row>
    <row r="436" spans="1:12" x14ac:dyDescent="0.3">
      <c r="A436" t="s">
        <v>477</v>
      </c>
      <c r="B436" s="2">
        <v>45812</v>
      </c>
      <c r="C436" s="2" t="str">
        <f>TEXT(tblBelgaumOrders[[#This Row],[Order_Date]],"mmm")</f>
        <v>Jun</v>
      </c>
      <c r="D436" t="s">
        <v>20</v>
      </c>
      <c r="E436" t="s">
        <v>2</v>
      </c>
      <c r="F436" t="s">
        <v>73</v>
      </c>
      <c r="G436" t="s">
        <v>4</v>
      </c>
      <c r="H436" t="s">
        <v>5</v>
      </c>
      <c r="I436" t="s">
        <v>11</v>
      </c>
      <c r="J436">
        <v>3</v>
      </c>
      <c r="K436" s="3">
        <v>1348.3</v>
      </c>
      <c r="L436" s="3">
        <f>tblBelgaumOrders[[#This Row],[Quantity]]*tblBelgaumOrders[[#This Row],[Order_Amount]]</f>
        <v>4044.8999999999996</v>
      </c>
    </row>
    <row r="437" spans="1:12" x14ac:dyDescent="0.3">
      <c r="A437" t="s">
        <v>478</v>
      </c>
      <c r="B437" s="2">
        <v>45727</v>
      </c>
      <c r="C437" s="2" t="str">
        <f>TEXT(tblBelgaumOrders[[#This Row],[Order_Date]],"mmm")</f>
        <v>Mar</v>
      </c>
      <c r="D437" t="s">
        <v>29</v>
      </c>
      <c r="E437" t="s">
        <v>14</v>
      </c>
      <c r="F437" t="s">
        <v>21</v>
      </c>
      <c r="G437" t="s">
        <v>4</v>
      </c>
      <c r="H437" t="s">
        <v>5</v>
      </c>
      <c r="I437" t="s">
        <v>11</v>
      </c>
      <c r="J437">
        <v>17</v>
      </c>
      <c r="K437" s="3">
        <v>2701.85</v>
      </c>
      <c r="L437" s="3">
        <f>tblBelgaumOrders[[#This Row],[Quantity]]*tblBelgaumOrders[[#This Row],[Order_Amount]]</f>
        <v>45931.45</v>
      </c>
    </row>
    <row r="438" spans="1:12" x14ac:dyDescent="0.3">
      <c r="A438" t="s">
        <v>479</v>
      </c>
      <c r="B438" s="2">
        <v>45663</v>
      </c>
      <c r="C438" s="2" t="str">
        <f>TEXT(tblBelgaumOrders[[#This Row],[Order_Date]],"mmm")</f>
        <v>Jan</v>
      </c>
      <c r="D438" t="s">
        <v>39</v>
      </c>
      <c r="E438" t="s">
        <v>14</v>
      </c>
      <c r="F438" t="s">
        <v>9</v>
      </c>
      <c r="G438" t="s">
        <v>4</v>
      </c>
      <c r="H438" t="s">
        <v>10</v>
      </c>
      <c r="I438" t="s">
        <v>11</v>
      </c>
      <c r="J438">
        <v>23</v>
      </c>
      <c r="K438" s="3">
        <v>5457.3</v>
      </c>
      <c r="L438" s="3">
        <f>tblBelgaumOrders[[#This Row],[Quantity]]*tblBelgaumOrders[[#This Row],[Order_Amount]]</f>
        <v>125517.90000000001</v>
      </c>
    </row>
    <row r="439" spans="1:12" x14ac:dyDescent="0.3">
      <c r="A439" t="s">
        <v>480</v>
      </c>
      <c r="B439" s="2">
        <v>45814</v>
      </c>
      <c r="C439" s="2" t="str">
        <f>TEXT(tblBelgaumOrders[[#This Row],[Order_Date]],"mmm")</f>
        <v>Jun</v>
      </c>
      <c r="D439" t="s">
        <v>48</v>
      </c>
      <c r="E439" t="s">
        <v>14</v>
      </c>
      <c r="F439" t="s">
        <v>73</v>
      </c>
      <c r="G439" t="s">
        <v>4</v>
      </c>
      <c r="H439" t="s">
        <v>10</v>
      </c>
      <c r="I439" t="s">
        <v>6</v>
      </c>
      <c r="J439">
        <v>22</v>
      </c>
      <c r="K439" s="3">
        <v>7719.77</v>
      </c>
      <c r="L439" s="3">
        <f>tblBelgaumOrders[[#This Row],[Quantity]]*tblBelgaumOrders[[#This Row],[Order_Amount]]</f>
        <v>169834.94</v>
      </c>
    </row>
    <row r="440" spans="1:12" x14ac:dyDescent="0.3">
      <c r="A440" t="s">
        <v>481</v>
      </c>
      <c r="B440" s="2">
        <v>45752</v>
      </c>
      <c r="C440" s="2" t="str">
        <f>TEXT(tblBelgaumOrders[[#This Row],[Order_Date]],"mmm")</f>
        <v>Apr</v>
      </c>
      <c r="D440" t="s">
        <v>50</v>
      </c>
      <c r="E440" t="s">
        <v>2</v>
      </c>
      <c r="F440" t="s">
        <v>3</v>
      </c>
      <c r="G440" t="s">
        <v>4</v>
      </c>
      <c r="H440" t="s">
        <v>5</v>
      </c>
      <c r="I440" t="s">
        <v>6</v>
      </c>
      <c r="J440">
        <v>1</v>
      </c>
      <c r="K440" s="3">
        <v>327.82</v>
      </c>
      <c r="L440" s="3">
        <f>tblBelgaumOrders[[#This Row],[Quantity]]*tblBelgaumOrders[[#This Row],[Order_Amount]]</f>
        <v>327.82</v>
      </c>
    </row>
    <row r="441" spans="1:12" x14ac:dyDescent="0.3">
      <c r="A441" t="s">
        <v>482</v>
      </c>
      <c r="B441" s="2">
        <v>45939</v>
      </c>
      <c r="C441" s="2" t="str">
        <f>TEXT(tblBelgaumOrders[[#This Row],[Order_Date]],"mmm")</f>
        <v>Oct</v>
      </c>
      <c r="D441" t="s">
        <v>32</v>
      </c>
      <c r="E441" t="s">
        <v>14</v>
      </c>
      <c r="F441" t="s">
        <v>9</v>
      </c>
      <c r="G441" t="s">
        <v>4</v>
      </c>
      <c r="H441" t="s">
        <v>10</v>
      </c>
      <c r="I441" t="s">
        <v>11</v>
      </c>
      <c r="J441">
        <v>24</v>
      </c>
      <c r="K441" s="3">
        <v>4502.8</v>
      </c>
      <c r="L441" s="3">
        <f>tblBelgaumOrders[[#This Row],[Quantity]]*tblBelgaumOrders[[#This Row],[Order_Amount]]</f>
        <v>108067.20000000001</v>
      </c>
    </row>
    <row r="442" spans="1:12" x14ac:dyDescent="0.3">
      <c r="A442" t="s">
        <v>483</v>
      </c>
      <c r="B442" s="2">
        <v>45827</v>
      </c>
      <c r="C442" s="2" t="str">
        <f>TEXT(tblBelgaumOrders[[#This Row],[Order_Date]],"mmm")</f>
        <v>Jun</v>
      </c>
      <c r="D442" t="s">
        <v>34</v>
      </c>
      <c r="E442" t="s">
        <v>2</v>
      </c>
      <c r="F442" t="s">
        <v>26</v>
      </c>
      <c r="G442" t="s">
        <v>4</v>
      </c>
      <c r="H442" t="s">
        <v>5</v>
      </c>
      <c r="I442" t="s">
        <v>46</v>
      </c>
      <c r="J442">
        <v>6</v>
      </c>
      <c r="K442" s="3">
        <v>3374.51</v>
      </c>
      <c r="L442" s="3">
        <f>tblBelgaumOrders[[#This Row],[Quantity]]*tblBelgaumOrders[[#This Row],[Order_Amount]]</f>
        <v>20247.060000000001</v>
      </c>
    </row>
    <row r="443" spans="1:12" x14ac:dyDescent="0.3">
      <c r="A443" t="s">
        <v>484</v>
      </c>
      <c r="B443" s="2">
        <v>45826</v>
      </c>
      <c r="C443" s="2" t="str">
        <f>TEXT(tblBelgaumOrders[[#This Row],[Order_Date]],"mmm")</f>
        <v>Jun</v>
      </c>
      <c r="D443" t="s">
        <v>23</v>
      </c>
      <c r="E443" t="s">
        <v>14</v>
      </c>
      <c r="F443" t="s">
        <v>9</v>
      </c>
      <c r="G443" t="s">
        <v>4</v>
      </c>
      <c r="H443" t="s">
        <v>5</v>
      </c>
      <c r="I443" t="s">
        <v>46</v>
      </c>
      <c r="J443">
        <v>11</v>
      </c>
      <c r="K443" s="3">
        <v>1490.74</v>
      </c>
      <c r="L443" s="3">
        <f>tblBelgaumOrders[[#This Row],[Quantity]]*tblBelgaumOrders[[#This Row],[Order_Amount]]</f>
        <v>16398.14</v>
      </c>
    </row>
    <row r="444" spans="1:12" x14ac:dyDescent="0.3">
      <c r="A444" t="s">
        <v>485</v>
      </c>
      <c r="B444" s="2">
        <v>45784</v>
      </c>
      <c r="C444" s="2" t="str">
        <f>TEXT(tblBelgaumOrders[[#This Row],[Order_Date]],"mmm")</f>
        <v>May</v>
      </c>
      <c r="D444" t="s">
        <v>50</v>
      </c>
      <c r="E444" t="s">
        <v>14</v>
      </c>
      <c r="F444" t="s">
        <v>26</v>
      </c>
      <c r="G444" t="s">
        <v>4</v>
      </c>
      <c r="H444" t="s">
        <v>10</v>
      </c>
      <c r="I444" t="s">
        <v>6</v>
      </c>
      <c r="J444">
        <v>16</v>
      </c>
      <c r="K444" s="3">
        <v>11030.96</v>
      </c>
      <c r="L444" s="3">
        <f>tblBelgaumOrders[[#This Row],[Quantity]]*tblBelgaumOrders[[#This Row],[Order_Amount]]</f>
        <v>176495.35999999999</v>
      </c>
    </row>
    <row r="445" spans="1:12" x14ac:dyDescent="0.3">
      <c r="A445" t="s">
        <v>486</v>
      </c>
      <c r="B445" s="2">
        <v>45894</v>
      </c>
      <c r="C445" s="2" t="str">
        <f>TEXT(tblBelgaumOrders[[#This Row],[Order_Date]],"mmm")</f>
        <v>Aug</v>
      </c>
      <c r="D445" t="s">
        <v>32</v>
      </c>
      <c r="E445" t="s">
        <v>2</v>
      </c>
      <c r="F445" t="s">
        <v>3</v>
      </c>
      <c r="G445" t="s">
        <v>4</v>
      </c>
      <c r="H445" t="s">
        <v>10</v>
      </c>
      <c r="I445" t="s">
        <v>6</v>
      </c>
      <c r="J445">
        <v>5</v>
      </c>
      <c r="K445" s="3">
        <v>1644.8</v>
      </c>
      <c r="L445" s="3">
        <f>tblBelgaumOrders[[#This Row],[Quantity]]*tblBelgaumOrders[[#This Row],[Order_Amount]]</f>
        <v>8224</v>
      </c>
    </row>
    <row r="446" spans="1:12" x14ac:dyDescent="0.3">
      <c r="A446" t="s">
        <v>487</v>
      </c>
      <c r="B446" s="2">
        <v>45729</v>
      </c>
      <c r="C446" s="2" t="str">
        <f>TEXT(tblBelgaumOrders[[#This Row],[Order_Date]],"mmm")</f>
        <v>Mar</v>
      </c>
      <c r="D446" t="s">
        <v>39</v>
      </c>
      <c r="E446" t="s">
        <v>2</v>
      </c>
      <c r="F446" t="s">
        <v>40</v>
      </c>
      <c r="G446" t="s">
        <v>4</v>
      </c>
      <c r="H446" t="s">
        <v>5</v>
      </c>
      <c r="I446" t="s">
        <v>18</v>
      </c>
      <c r="J446">
        <v>9</v>
      </c>
      <c r="K446" s="3">
        <v>1625.73</v>
      </c>
      <c r="L446" s="3">
        <f>tblBelgaumOrders[[#This Row],[Quantity]]*tblBelgaumOrders[[#This Row],[Order_Amount]]</f>
        <v>14631.57</v>
      </c>
    </row>
    <row r="447" spans="1:12" x14ac:dyDescent="0.3">
      <c r="A447" t="s">
        <v>488</v>
      </c>
      <c r="B447" s="2">
        <v>45955</v>
      </c>
      <c r="C447" s="2" t="str">
        <f>TEXT(tblBelgaumOrders[[#This Row],[Order_Date]],"mmm")</f>
        <v>Oct</v>
      </c>
      <c r="D447" t="s">
        <v>29</v>
      </c>
      <c r="E447" t="s">
        <v>14</v>
      </c>
      <c r="F447" t="s">
        <v>9</v>
      </c>
      <c r="G447" t="s">
        <v>4</v>
      </c>
      <c r="H447" t="s">
        <v>10</v>
      </c>
      <c r="I447" t="s">
        <v>18</v>
      </c>
      <c r="J447">
        <v>23</v>
      </c>
      <c r="K447" s="3">
        <v>4277.71</v>
      </c>
      <c r="L447" s="3">
        <f>tblBelgaumOrders[[#This Row],[Quantity]]*tblBelgaumOrders[[#This Row],[Order_Amount]]</f>
        <v>98387.33</v>
      </c>
    </row>
    <row r="448" spans="1:12" x14ac:dyDescent="0.3">
      <c r="A448" t="s">
        <v>489</v>
      </c>
      <c r="B448" s="2">
        <v>45734</v>
      </c>
      <c r="C448" s="2" t="str">
        <f>TEXT(tblBelgaumOrders[[#This Row],[Order_Date]],"mmm")</f>
        <v>Mar</v>
      </c>
      <c r="D448" t="s">
        <v>34</v>
      </c>
      <c r="E448" t="s">
        <v>2</v>
      </c>
      <c r="F448" t="s">
        <v>73</v>
      </c>
      <c r="G448" t="s">
        <v>4</v>
      </c>
      <c r="H448" t="s">
        <v>5</v>
      </c>
      <c r="I448" t="s">
        <v>11</v>
      </c>
      <c r="J448">
        <v>9</v>
      </c>
      <c r="K448" s="3">
        <v>3992.61</v>
      </c>
      <c r="L448" s="3">
        <f>tblBelgaumOrders[[#This Row],[Quantity]]*tblBelgaumOrders[[#This Row],[Order_Amount]]</f>
        <v>35933.49</v>
      </c>
    </row>
    <row r="449" spans="1:12" x14ac:dyDescent="0.3">
      <c r="A449" t="s">
        <v>490</v>
      </c>
      <c r="B449" s="2">
        <v>45861</v>
      </c>
      <c r="C449" s="2" t="str">
        <f>TEXT(tblBelgaumOrders[[#This Row],[Order_Date]],"mmm")</f>
        <v>Jul</v>
      </c>
      <c r="D449" t="s">
        <v>34</v>
      </c>
      <c r="E449" t="s">
        <v>2</v>
      </c>
      <c r="F449" t="s">
        <v>26</v>
      </c>
      <c r="G449" t="s">
        <v>17</v>
      </c>
      <c r="H449" t="s">
        <v>5</v>
      </c>
      <c r="I449" t="s">
        <v>6</v>
      </c>
      <c r="J449">
        <v>3</v>
      </c>
      <c r="K449" s="3">
        <v>0</v>
      </c>
      <c r="L449" s="3">
        <f>tblBelgaumOrders[[#This Row],[Quantity]]*tblBelgaumOrders[[#This Row],[Order_Amount]]</f>
        <v>0</v>
      </c>
    </row>
    <row r="450" spans="1:12" x14ac:dyDescent="0.3">
      <c r="A450" t="s">
        <v>491</v>
      </c>
      <c r="B450" s="2">
        <v>45729</v>
      </c>
      <c r="C450" s="2" t="str">
        <f>TEXT(tblBelgaumOrders[[#This Row],[Order_Date]],"mmm")</f>
        <v>Mar</v>
      </c>
      <c r="D450" t="s">
        <v>32</v>
      </c>
      <c r="E450" t="s">
        <v>2</v>
      </c>
      <c r="F450" t="s">
        <v>37</v>
      </c>
      <c r="G450" t="s">
        <v>4</v>
      </c>
      <c r="H450" t="s">
        <v>5</v>
      </c>
      <c r="I450" t="s">
        <v>11</v>
      </c>
      <c r="J450">
        <v>8</v>
      </c>
      <c r="K450" s="3">
        <v>2311.77</v>
      </c>
      <c r="L450" s="3">
        <f>tblBelgaumOrders[[#This Row],[Quantity]]*tblBelgaumOrders[[#This Row],[Order_Amount]]</f>
        <v>18494.16</v>
      </c>
    </row>
    <row r="451" spans="1:12" x14ac:dyDescent="0.3">
      <c r="A451" t="s">
        <v>492</v>
      </c>
      <c r="B451" s="2">
        <v>45678</v>
      </c>
      <c r="C451" s="2" t="str">
        <f>TEXT(tblBelgaumOrders[[#This Row],[Order_Date]],"mmm")</f>
        <v>Jan</v>
      </c>
      <c r="D451" t="s">
        <v>50</v>
      </c>
      <c r="E451" t="s">
        <v>14</v>
      </c>
      <c r="F451" t="s">
        <v>3</v>
      </c>
      <c r="G451" t="s">
        <v>4</v>
      </c>
      <c r="H451" t="s">
        <v>10</v>
      </c>
      <c r="I451" t="s">
        <v>6</v>
      </c>
      <c r="J451">
        <v>22</v>
      </c>
      <c r="K451" s="3">
        <v>7405.32</v>
      </c>
      <c r="L451" s="3">
        <f>tblBelgaumOrders[[#This Row],[Quantity]]*tblBelgaumOrders[[#This Row],[Order_Amount]]</f>
        <v>162917.03999999998</v>
      </c>
    </row>
    <row r="452" spans="1:12" x14ac:dyDescent="0.3">
      <c r="A452" t="s">
        <v>493</v>
      </c>
      <c r="B452" s="2">
        <v>45842</v>
      </c>
      <c r="C452" s="2" t="str">
        <f>TEXT(tblBelgaumOrders[[#This Row],[Order_Date]],"mmm")</f>
        <v>Jul</v>
      </c>
      <c r="D452" t="s">
        <v>29</v>
      </c>
      <c r="E452" t="s">
        <v>2</v>
      </c>
      <c r="F452" t="s">
        <v>77</v>
      </c>
      <c r="G452" t="s">
        <v>4</v>
      </c>
      <c r="H452" t="s">
        <v>63</v>
      </c>
      <c r="I452" t="s">
        <v>11</v>
      </c>
      <c r="J452">
        <v>9</v>
      </c>
      <c r="K452" s="3">
        <v>9662.7000000000007</v>
      </c>
      <c r="L452" s="3">
        <f>tblBelgaumOrders[[#This Row],[Quantity]]*tblBelgaumOrders[[#This Row],[Order_Amount]]</f>
        <v>86964.3</v>
      </c>
    </row>
    <row r="453" spans="1:12" x14ac:dyDescent="0.3">
      <c r="A453" t="s">
        <v>494</v>
      </c>
      <c r="B453" s="2">
        <v>45798</v>
      </c>
      <c r="C453" s="2" t="str">
        <f>TEXT(tblBelgaumOrders[[#This Row],[Order_Date]],"mmm")</f>
        <v>May</v>
      </c>
      <c r="D453" t="s">
        <v>13</v>
      </c>
      <c r="E453" t="s">
        <v>2</v>
      </c>
      <c r="F453" t="s">
        <v>37</v>
      </c>
      <c r="G453" t="s">
        <v>4</v>
      </c>
      <c r="H453" t="s">
        <v>10</v>
      </c>
      <c r="I453" t="s">
        <v>6</v>
      </c>
      <c r="J453">
        <v>2</v>
      </c>
      <c r="K453" s="3">
        <v>466.4</v>
      </c>
      <c r="L453" s="3">
        <f>tblBelgaumOrders[[#This Row],[Quantity]]*tblBelgaumOrders[[#This Row],[Order_Amount]]</f>
        <v>932.8</v>
      </c>
    </row>
    <row r="454" spans="1:12" x14ac:dyDescent="0.3">
      <c r="A454" t="s">
        <v>495</v>
      </c>
      <c r="B454" s="2">
        <v>45850</v>
      </c>
      <c r="C454" s="2" t="str">
        <f>TEXT(tblBelgaumOrders[[#This Row],[Order_Date]],"mmm")</f>
        <v>Jul</v>
      </c>
      <c r="D454" t="s">
        <v>50</v>
      </c>
      <c r="E454" t="s">
        <v>2</v>
      </c>
      <c r="F454" t="s">
        <v>51</v>
      </c>
      <c r="G454" t="s">
        <v>17</v>
      </c>
      <c r="H454" t="s">
        <v>10</v>
      </c>
      <c r="I454" t="s">
        <v>6</v>
      </c>
      <c r="J454">
        <v>10</v>
      </c>
      <c r="K454" s="3">
        <v>0</v>
      </c>
      <c r="L454" s="3">
        <f>tblBelgaumOrders[[#This Row],[Quantity]]*tblBelgaumOrders[[#This Row],[Order_Amount]]</f>
        <v>0</v>
      </c>
    </row>
    <row r="455" spans="1:12" x14ac:dyDescent="0.3">
      <c r="A455" t="s">
        <v>496</v>
      </c>
      <c r="B455" s="2">
        <v>45883</v>
      </c>
      <c r="C455" s="2" t="str">
        <f>TEXT(tblBelgaumOrders[[#This Row],[Order_Date]],"mmm")</f>
        <v>Aug</v>
      </c>
      <c r="D455" t="s">
        <v>58</v>
      </c>
      <c r="E455" t="s">
        <v>2</v>
      </c>
      <c r="F455" t="s">
        <v>37</v>
      </c>
      <c r="G455" t="s">
        <v>4</v>
      </c>
      <c r="H455" t="s">
        <v>10</v>
      </c>
      <c r="I455" t="s">
        <v>11</v>
      </c>
      <c r="J455">
        <v>10</v>
      </c>
      <c r="K455" s="3">
        <v>2596.84</v>
      </c>
      <c r="L455" s="3">
        <f>tblBelgaumOrders[[#This Row],[Quantity]]*tblBelgaumOrders[[#This Row],[Order_Amount]]</f>
        <v>25968.400000000001</v>
      </c>
    </row>
    <row r="456" spans="1:12" x14ac:dyDescent="0.3">
      <c r="A456" t="s">
        <v>497</v>
      </c>
      <c r="B456" s="2">
        <v>45718</v>
      </c>
      <c r="C456" s="2" t="str">
        <f>TEXT(tblBelgaumOrders[[#This Row],[Order_Date]],"mmm")</f>
        <v>Mar</v>
      </c>
      <c r="D456" t="s">
        <v>50</v>
      </c>
      <c r="E456" t="s">
        <v>2</v>
      </c>
      <c r="F456" t="s">
        <v>51</v>
      </c>
      <c r="G456" t="s">
        <v>4</v>
      </c>
      <c r="H456" t="s">
        <v>5</v>
      </c>
      <c r="I456" t="s">
        <v>6</v>
      </c>
      <c r="J456">
        <v>10</v>
      </c>
      <c r="K456" s="3">
        <v>15241.46</v>
      </c>
      <c r="L456" s="3">
        <f>tblBelgaumOrders[[#This Row],[Quantity]]*tblBelgaumOrders[[#This Row],[Order_Amount]]</f>
        <v>152414.59999999998</v>
      </c>
    </row>
    <row r="457" spans="1:12" x14ac:dyDescent="0.3">
      <c r="A457" t="s">
        <v>498</v>
      </c>
      <c r="B457" s="2">
        <v>45669</v>
      </c>
      <c r="C457" s="2" t="str">
        <f>TEXT(tblBelgaumOrders[[#This Row],[Order_Date]],"mmm")</f>
        <v>Jan</v>
      </c>
      <c r="D457" t="s">
        <v>50</v>
      </c>
      <c r="E457" t="s">
        <v>2</v>
      </c>
      <c r="F457" t="s">
        <v>37</v>
      </c>
      <c r="G457" t="s">
        <v>4</v>
      </c>
      <c r="H457" t="s">
        <v>5</v>
      </c>
      <c r="I457" t="s">
        <v>11</v>
      </c>
      <c r="J457">
        <v>10</v>
      </c>
      <c r="K457" s="3">
        <v>1843.86</v>
      </c>
      <c r="L457" s="3">
        <f>tblBelgaumOrders[[#This Row],[Quantity]]*tblBelgaumOrders[[#This Row],[Order_Amount]]</f>
        <v>18438.599999999999</v>
      </c>
    </row>
    <row r="458" spans="1:12" x14ac:dyDescent="0.3">
      <c r="A458" t="s">
        <v>499</v>
      </c>
      <c r="B458" s="2">
        <v>45743</v>
      </c>
      <c r="C458" s="2" t="str">
        <f>TEXT(tblBelgaumOrders[[#This Row],[Order_Date]],"mmm")</f>
        <v>Mar</v>
      </c>
      <c r="D458" t="s">
        <v>13</v>
      </c>
      <c r="E458" t="s">
        <v>24</v>
      </c>
      <c r="F458" t="s">
        <v>37</v>
      </c>
      <c r="G458" t="s">
        <v>4</v>
      </c>
      <c r="H458" t="s">
        <v>63</v>
      </c>
      <c r="I458" t="s">
        <v>6</v>
      </c>
      <c r="J458">
        <v>12</v>
      </c>
      <c r="K458" s="3">
        <v>3767.55</v>
      </c>
      <c r="L458" s="3">
        <f>tblBelgaumOrders[[#This Row],[Quantity]]*tblBelgaumOrders[[#This Row],[Order_Amount]]</f>
        <v>45210.600000000006</v>
      </c>
    </row>
    <row r="459" spans="1:12" x14ac:dyDescent="0.3">
      <c r="A459" t="s">
        <v>500</v>
      </c>
      <c r="B459" s="2">
        <v>45968</v>
      </c>
      <c r="C459" s="2" t="str">
        <f>TEXT(tblBelgaumOrders[[#This Row],[Order_Date]],"mmm")</f>
        <v>Nov</v>
      </c>
      <c r="D459" t="s">
        <v>55</v>
      </c>
      <c r="E459" t="s">
        <v>14</v>
      </c>
      <c r="F459" t="s">
        <v>9</v>
      </c>
      <c r="G459" t="s">
        <v>17</v>
      </c>
      <c r="H459" t="s">
        <v>5</v>
      </c>
      <c r="I459" t="s">
        <v>18</v>
      </c>
      <c r="J459">
        <v>11</v>
      </c>
      <c r="K459" s="3">
        <v>0</v>
      </c>
      <c r="L459" s="3">
        <f>tblBelgaumOrders[[#This Row],[Quantity]]*tblBelgaumOrders[[#This Row],[Order_Amount]]</f>
        <v>0</v>
      </c>
    </row>
    <row r="460" spans="1:12" x14ac:dyDescent="0.3">
      <c r="A460" t="s">
        <v>501</v>
      </c>
      <c r="B460" s="2">
        <v>45919</v>
      </c>
      <c r="C460" s="2" t="str">
        <f>TEXT(tblBelgaumOrders[[#This Row],[Order_Date]],"mmm")</f>
        <v>Sep</v>
      </c>
      <c r="D460" t="s">
        <v>13</v>
      </c>
      <c r="E460" t="s">
        <v>2</v>
      </c>
      <c r="F460" t="s">
        <v>26</v>
      </c>
      <c r="G460" t="s">
        <v>30</v>
      </c>
      <c r="H460" t="s">
        <v>5</v>
      </c>
      <c r="I460" t="s">
        <v>11</v>
      </c>
      <c r="J460">
        <v>7</v>
      </c>
      <c r="K460" s="3">
        <v>3709.23</v>
      </c>
      <c r="L460" s="3">
        <f>tblBelgaumOrders[[#This Row],[Quantity]]*tblBelgaumOrders[[#This Row],[Order_Amount]]</f>
        <v>25964.61</v>
      </c>
    </row>
    <row r="461" spans="1:12" x14ac:dyDescent="0.3">
      <c r="A461" t="s">
        <v>502</v>
      </c>
      <c r="B461" s="2">
        <v>45713</v>
      </c>
      <c r="C461" s="2" t="str">
        <f>TEXT(tblBelgaumOrders[[#This Row],[Order_Date]],"mmm")</f>
        <v>Feb</v>
      </c>
      <c r="D461" t="s">
        <v>67</v>
      </c>
      <c r="E461" t="s">
        <v>2</v>
      </c>
      <c r="F461" t="s">
        <v>21</v>
      </c>
      <c r="G461" t="s">
        <v>4</v>
      </c>
      <c r="H461" t="s">
        <v>10</v>
      </c>
      <c r="I461" t="s">
        <v>11</v>
      </c>
      <c r="J461">
        <v>2</v>
      </c>
      <c r="K461" s="3">
        <v>205.55</v>
      </c>
      <c r="L461" s="3">
        <f>tblBelgaumOrders[[#This Row],[Quantity]]*tblBelgaumOrders[[#This Row],[Order_Amount]]</f>
        <v>411.1</v>
      </c>
    </row>
    <row r="462" spans="1:12" x14ac:dyDescent="0.3">
      <c r="A462" t="s">
        <v>503</v>
      </c>
      <c r="B462" s="2">
        <v>45972</v>
      </c>
      <c r="C462" s="2" t="str">
        <f>TEXT(tblBelgaumOrders[[#This Row],[Order_Date]],"mmm")</f>
        <v>Nov</v>
      </c>
      <c r="D462" t="s">
        <v>8</v>
      </c>
      <c r="E462" t="s">
        <v>14</v>
      </c>
      <c r="F462" t="s">
        <v>37</v>
      </c>
      <c r="G462" t="s">
        <v>15</v>
      </c>
      <c r="H462" t="s">
        <v>10</v>
      </c>
      <c r="I462" t="s">
        <v>6</v>
      </c>
      <c r="J462">
        <v>25</v>
      </c>
      <c r="K462" s="3">
        <v>5904.64</v>
      </c>
      <c r="L462" s="3">
        <f>tblBelgaumOrders[[#This Row],[Quantity]]*tblBelgaumOrders[[#This Row],[Order_Amount]]</f>
        <v>147616</v>
      </c>
    </row>
    <row r="463" spans="1:12" x14ac:dyDescent="0.3">
      <c r="A463" t="s">
        <v>504</v>
      </c>
      <c r="B463" s="2">
        <v>45658</v>
      </c>
      <c r="C463" s="2" t="str">
        <f>TEXT(tblBelgaumOrders[[#This Row],[Order_Date]],"mmm")</f>
        <v>Jan</v>
      </c>
      <c r="D463" t="s">
        <v>79</v>
      </c>
      <c r="E463" t="s">
        <v>2</v>
      </c>
      <c r="F463" t="s">
        <v>51</v>
      </c>
      <c r="G463" t="s">
        <v>4</v>
      </c>
      <c r="H463" t="s">
        <v>10</v>
      </c>
      <c r="I463" t="s">
        <v>11</v>
      </c>
      <c r="J463">
        <v>8</v>
      </c>
      <c r="K463" s="3">
        <v>17621.759999999998</v>
      </c>
      <c r="L463" s="3">
        <f>tblBelgaumOrders[[#This Row],[Quantity]]*tblBelgaumOrders[[#This Row],[Order_Amount]]</f>
        <v>140974.07999999999</v>
      </c>
    </row>
    <row r="464" spans="1:12" x14ac:dyDescent="0.3">
      <c r="A464" t="s">
        <v>505</v>
      </c>
      <c r="B464" s="2">
        <v>45959</v>
      </c>
      <c r="C464" s="2" t="str">
        <f>TEXT(tblBelgaumOrders[[#This Row],[Order_Date]],"mmm")</f>
        <v>Oct</v>
      </c>
      <c r="D464" t="s">
        <v>1</v>
      </c>
      <c r="E464" t="s">
        <v>2</v>
      </c>
      <c r="F464" t="s">
        <v>3</v>
      </c>
      <c r="G464" t="s">
        <v>15</v>
      </c>
      <c r="H464" t="s">
        <v>63</v>
      </c>
      <c r="I464" t="s">
        <v>11</v>
      </c>
      <c r="J464">
        <v>10</v>
      </c>
      <c r="K464" s="3">
        <v>3317.76</v>
      </c>
      <c r="L464" s="3">
        <f>tblBelgaumOrders[[#This Row],[Quantity]]*tblBelgaumOrders[[#This Row],[Order_Amount]]</f>
        <v>33177.600000000006</v>
      </c>
    </row>
    <row r="465" spans="1:12" x14ac:dyDescent="0.3">
      <c r="A465" t="s">
        <v>506</v>
      </c>
      <c r="B465" s="2">
        <v>45867</v>
      </c>
      <c r="C465" s="2" t="str">
        <f>TEXT(tblBelgaumOrders[[#This Row],[Order_Date]],"mmm")</f>
        <v>Jul</v>
      </c>
      <c r="D465" t="s">
        <v>13</v>
      </c>
      <c r="E465" t="s">
        <v>2</v>
      </c>
      <c r="F465" t="s">
        <v>40</v>
      </c>
      <c r="G465" t="s">
        <v>15</v>
      </c>
      <c r="H465" t="s">
        <v>10</v>
      </c>
      <c r="I465" t="s">
        <v>11</v>
      </c>
      <c r="J465">
        <v>1</v>
      </c>
      <c r="K465" s="3">
        <v>156</v>
      </c>
      <c r="L465" s="3">
        <f>tblBelgaumOrders[[#This Row],[Quantity]]*tblBelgaumOrders[[#This Row],[Order_Amount]]</f>
        <v>156</v>
      </c>
    </row>
    <row r="466" spans="1:12" x14ac:dyDescent="0.3">
      <c r="A466" t="s">
        <v>507</v>
      </c>
      <c r="B466" s="2">
        <v>45763</v>
      </c>
      <c r="C466" s="2" t="str">
        <f>TEXT(tblBelgaumOrders[[#This Row],[Order_Date]],"mmm")</f>
        <v>Apr</v>
      </c>
      <c r="D466" t="s">
        <v>53</v>
      </c>
      <c r="E466" t="s">
        <v>2</v>
      </c>
      <c r="F466" t="s">
        <v>9</v>
      </c>
      <c r="G466" t="s">
        <v>4</v>
      </c>
      <c r="H466" t="s">
        <v>5</v>
      </c>
      <c r="I466" t="s">
        <v>11</v>
      </c>
      <c r="J466">
        <v>9</v>
      </c>
      <c r="K466" s="3">
        <v>1626.7</v>
      </c>
      <c r="L466" s="3">
        <f>tblBelgaumOrders[[#This Row],[Quantity]]*tblBelgaumOrders[[#This Row],[Order_Amount]]</f>
        <v>14640.300000000001</v>
      </c>
    </row>
    <row r="467" spans="1:12" x14ac:dyDescent="0.3">
      <c r="A467" t="s">
        <v>508</v>
      </c>
      <c r="B467" s="2">
        <v>45845</v>
      </c>
      <c r="C467" s="2" t="str">
        <f>TEXT(tblBelgaumOrders[[#This Row],[Order_Date]],"mmm")</f>
        <v>Jul</v>
      </c>
      <c r="D467" t="s">
        <v>13</v>
      </c>
      <c r="E467" t="s">
        <v>24</v>
      </c>
      <c r="F467" t="s">
        <v>51</v>
      </c>
      <c r="G467" t="s">
        <v>4</v>
      </c>
      <c r="H467" t="s">
        <v>10</v>
      </c>
      <c r="I467" t="s">
        <v>6</v>
      </c>
      <c r="J467">
        <v>8</v>
      </c>
      <c r="K467" s="3">
        <v>15863.77</v>
      </c>
      <c r="L467" s="3">
        <f>tblBelgaumOrders[[#This Row],[Quantity]]*tblBelgaumOrders[[#This Row],[Order_Amount]]</f>
        <v>126910.16</v>
      </c>
    </row>
    <row r="468" spans="1:12" x14ac:dyDescent="0.3">
      <c r="A468" t="s">
        <v>509</v>
      </c>
      <c r="B468" s="2">
        <v>45815</v>
      </c>
      <c r="C468" s="2" t="str">
        <f>TEXT(tblBelgaumOrders[[#This Row],[Order_Date]],"mmm")</f>
        <v>Jun</v>
      </c>
      <c r="D468" t="s">
        <v>34</v>
      </c>
      <c r="E468" t="s">
        <v>14</v>
      </c>
      <c r="F468" t="s">
        <v>51</v>
      </c>
      <c r="G468" t="s">
        <v>4</v>
      </c>
      <c r="H468" t="s">
        <v>5</v>
      </c>
      <c r="I468" t="s">
        <v>11</v>
      </c>
      <c r="J468">
        <v>13</v>
      </c>
      <c r="K468" s="3">
        <v>23820.19</v>
      </c>
      <c r="L468" s="3">
        <f>tblBelgaumOrders[[#This Row],[Quantity]]*tblBelgaumOrders[[#This Row],[Order_Amount]]</f>
        <v>309662.46999999997</v>
      </c>
    </row>
    <row r="469" spans="1:12" x14ac:dyDescent="0.3">
      <c r="A469" t="s">
        <v>510</v>
      </c>
      <c r="B469" s="2">
        <v>45740</v>
      </c>
      <c r="C469" s="2" t="str">
        <f>TEXT(tblBelgaumOrders[[#This Row],[Order_Date]],"mmm")</f>
        <v>Mar</v>
      </c>
      <c r="D469" t="s">
        <v>1</v>
      </c>
      <c r="E469" t="s">
        <v>2</v>
      </c>
      <c r="F469" t="s">
        <v>77</v>
      </c>
      <c r="G469" t="s">
        <v>4</v>
      </c>
      <c r="H469" t="s">
        <v>10</v>
      </c>
      <c r="I469" t="s">
        <v>6</v>
      </c>
      <c r="J469">
        <v>1</v>
      </c>
      <c r="K469" s="3">
        <v>804.12</v>
      </c>
      <c r="L469" s="3">
        <f>tblBelgaumOrders[[#This Row],[Quantity]]*tblBelgaumOrders[[#This Row],[Order_Amount]]</f>
        <v>804.12</v>
      </c>
    </row>
    <row r="470" spans="1:12" x14ac:dyDescent="0.3">
      <c r="A470" t="s">
        <v>511</v>
      </c>
      <c r="B470" s="2">
        <v>45983</v>
      </c>
      <c r="C470" s="2" t="str">
        <f>TEXT(tblBelgaumOrders[[#This Row],[Order_Date]],"mmm")</f>
        <v>Nov</v>
      </c>
      <c r="D470" t="s">
        <v>67</v>
      </c>
      <c r="E470" t="s">
        <v>14</v>
      </c>
      <c r="F470" t="s">
        <v>21</v>
      </c>
      <c r="G470" t="s">
        <v>4</v>
      </c>
      <c r="H470" t="s">
        <v>5</v>
      </c>
      <c r="I470" t="s">
        <v>11</v>
      </c>
      <c r="J470">
        <v>14</v>
      </c>
      <c r="K470" s="3">
        <v>1483.54</v>
      </c>
      <c r="L470" s="3">
        <f>tblBelgaumOrders[[#This Row],[Quantity]]*tblBelgaumOrders[[#This Row],[Order_Amount]]</f>
        <v>20769.559999999998</v>
      </c>
    </row>
    <row r="471" spans="1:12" x14ac:dyDescent="0.3">
      <c r="A471" t="s">
        <v>512</v>
      </c>
      <c r="B471" s="2">
        <v>45698</v>
      </c>
      <c r="C471" s="2" t="str">
        <f>TEXT(tblBelgaumOrders[[#This Row],[Order_Date]],"mmm")</f>
        <v>Feb</v>
      </c>
      <c r="D471" t="s">
        <v>8</v>
      </c>
      <c r="E471" t="s">
        <v>14</v>
      </c>
      <c r="F471" t="s">
        <v>73</v>
      </c>
      <c r="G471" t="s">
        <v>4</v>
      </c>
      <c r="H471" t="s">
        <v>5</v>
      </c>
      <c r="I471" t="s">
        <v>11</v>
      </c>
      <c r="J471">
        <v>25</v>
      </c>
      <c r="K471" s="3">
        <v>8237.02</v>
      </c>
      <c r="L471" s="3">
        <f>tblBelgaumOrders[[#This Row],[Quantity]]*tblBelgaumOrders[[#This Row],[Order_Amount]]</f>
        <v>205925.5</v>
      </c>
    </row>
    <row r="472" spans="1:12" x14ac:dyDescent="0.3">
      <c r="A472" t="s">
        <v>513</v>
      </c>
      <c r="B472" s="2">
        <v>45747</v>
      </c>
      <c r="C472" s="2" t="str">
        <f>TEXT(tblBelgaumOrders[[#This Row],[Order_Date]],"mmm")</f>
        <v>Mar</v>
      </c>
      <c r="D472" t="s">
        <v>55</v>
      </c>
      <c r="E472" t="s">
        <v>2</v>
      </c>
      <c r="F472" t="s">
        <v>9</v>
      </c>
      <c r="G472" t="s">
        <v>4</v>
      </c>
      <c r="H472" t="s">
        <v>5</v>
      </c>
      <c r="I472" t="s">
        <v>11</v>
      </c>
      <c r="J472">
        <v>1</v>
      </c>
      <c r="K472" s="3">
        <v>219.67</v>
      </c>
      <c r="L472" s="3">
        <f>tblBelgaumOrders[[#This Row],[Quantity]]*tblBelgaumOrders[[#This Row],[Order_Amount]]</f>
        <v>219.67</v>
      </c>
    </row>
    <row r="473" spans="1:12" x14ac:dyDescent="0.3">
      <c r="A473" t="s">
        <v>514</v>
      </c>
      <c r="B473" s="2">
        <v>45919</v>
      </c>
      <c r="C473" s="2" t="str">
        <f>TEXT(tblBelgaumOrders[[#This Row],[Order_Date]],"mmm")</f>
        <v>Sep</v>
      </c>
      <c r="D473" t="s">
        <v>42</v>
      </c>
      <c r="E473" t="s">
        <v>14</v>
      </c>
      <c r="F473" t="s">
        <v>37</v>
      </c>
      <c r="G473" t="s">
        <v>4</v>
      </c>
      <c r="H473" t="s">
        <v>10</v>
      </c>
      <c r="I473" t="s">
        <v>6</v>
      </c>
      <c r="J473">
        <v>11</v>
      </c>
      <c r="K473" s="3">
        <v>1941.1</v>
      </c>
      <c r="L473" s="3">
        <f>tblBelgaumOrders[[#This Row],[Quantity]]*tblBelgaumOrders[[#This Row],[Order_Amount]]</f>
        <v>21352.1</v>
      </c>
    </row>
    <row r="474" spans="1:12" x14ac:dyDescent="0.3">
      <c r="A474" t="s">
        <v>515</v>
      </c>
      <c r="B474" s="2">
        <v>45799</v>
      </c>
      <c r="C474" s="2" t="str">
        <f>TEXT(tblBelgaumOrders[[#This Row],[Order_Date]],"mmm")</f>
        <v>May</v>
      </c>
      <c r="D474" t="s">
        <v>29</v>
      </c>
      <c r="E474" t="s">
        <v>2</v>
      </c>
      <c r="F474" t="s">
        <v>51</v>
      </c>
      <c r="G474" t="s">
        <v>4</v>
      </c>
      <c r="H474" t="s">
        <v>10</v>
      </c>
      <c r="I474" t="s">
        <v>18</v>
      </c>
      <c r="J474">
        <v>2</v>
      </c>
      <c r="K474" s="3">
        <v>4685.42</v>
      </c>
      <c r="L474" s="3">
        <f>tblBelgaumOrders[[#This Row],[Quantity]]*tblBelgaumOrders[[#This Row],[Order_Amount]]</f>
        <v>9370.84</v>
      </c>
    </row>
    <row r="475" spans="1:12" x14ac:dyDescent="0.3">
      <c r="A475" t="s">
        <v>516</v>
      </c>
      <c r="B475" s="2">
        <v>45944</v>
      </c>
      <c r="C475" s="2" t="str">
        <f>TEXT(tblBelgaumOrders[[#This Row],[Order_Date]],"mmm")</f>
        <v>Oct</v>
      </c>
      <c r="D475" t="s">
        <v>34</v>
      </c>
      <c r="E475" t="s">
        <v>2</v>
      </c>
      <c r="F475" t="s">
        <v>21</v>
      </c>
      <c r="G475" t="s">
        <v>4</v>
      </c>
      <c r="H475" t="s">
        <v>63</v>
      </c>
      <c r="I475" t="s">
        <v>11</v>
      </c>
      <c r="J475">
        <v>7</v>
      </c>
      <c r="K475" s="3">
        <v>919.75</v>
      </c>
      <c r="L475" s="3">
        <f>tblBelgaumOrders[[#This Row],[Quantity]]*tblBelgaumOrders[[#This Row],[Order_Amount]]</f>
        <v>6438.25</v>
      </c>
    </row>
    <row r="476" spans="1:12" x14ac:dyDescent="0.3">
      <c r="A476" t="s">
        <v>517</v>
      </c>
      <c r="B476" s="2">
        <v>45791</v>
      </c>
      <c r="C476" s="2" t="str">
        <f>TEXT(tblBelgaumOrders[[#This Row],[Order_Date]],"mmm")</f>
        <v>May</v>
      </c>
      <c r="D476" t="s">
        <v>58</v>
      </c>
      <c r="E476" t="s">
        <v>2</v>
      </c>
      <c r="F476" t="s">
        <v>9</v>
      </c>
      <c r="G476" t="s">
        <v>4</v>
      </c>
      <c r="H476" t="s">
        <v>10</v>
      </c>
      <c r="I476" t="s">
        <v>46</v>
      </c>
      <c r="J476">
        <v>9</v>
      </c>
      <c r="K476" s="3">
        <v>2144.92</v>
      </c>
      <c r="L476" s="3">
        <f>tblBelgaumOrders[[#This Row],[Quantity]]*tblBelgaumOrders[[#This Row],[Order_Amount]]</f>
        <v>19304.28</v>
      </c>
    </row>
    <row r="477" spans="1:12" x14ac:dyDescent="0.3">
      <c r="A477" t="s">
        <v>518</v>
      </c>
      <c r="B477" s="2">
        <v>45933</v>
      </c>
      <c r="C477" s="2" t="str">
        <f>TEXT(tblBelgaumOrders[[#This Row],[Order_Date]],"mmm")</f>
        <v>Oct</v>
      </c>
      <c r="D477" t="s">
        <v>13</v>
      </c>
      <c r="E477" t="s">
        <v>14</v>
      </c>
      <c r="F477" t="s">
        <v>35</v>
      </c>
      <c r="G477" t="s">
        <v>4</v>
      </c>
      <c r="H477" t="s">
        <v>5</v>
      </c>
      <c r="I477" t="s">
        <v>18</v>
      </c>
      <c r="J477">
        <v>20</v>
      </c>
      <c r="K477" s="3">
        <v>74173.240000000005</v>
      </c>
      <c r="L477" s="3">
        <f>tblBelgaumOrders[[#This Row],[Quantity]]*tblBelgaumOrders[[#This Row],[Order_Amount]]</f>
        <v>1483464.8</v>
      </c>
    </row>
    <row r="478" spans="1:12" x14ac:dyDescent="0.3">
      <c r="A478" t="s">
        <v>519</v>
      </c>
      <c r="B478" s="2">
        <v>45672</v>
      </c>
      <c r="C478" s="2" t="str">
        <f>TEXT(tblBelgaumOrders[[#This Row],[Order_Date]],"mmm")</f>
        <v>Jan</v>
      </c>
      <c r="D478" t="s">
        <v>55</v>
      </c>
      <c r="E478" t="s">
        <v>2</v>
      </c>
      <c r="F478" t="s">
        <v>9</v>
      </c>
      <c r="G478" t="s">
        <v>4</v>
      </c>
      <c r="H478" t="s">
        <v>63</v>
      </c>
      <c r="I478" t="s">
        <v>6</v>
      </c>
      <c r="J478">
        <v>4</v>
      </c>
      <c r="K478" s="3">
        <v>885.67</v>
      </c>
      <c r="L478" s="3">
        <f>tblBelgaumOrders[[#This Row],[Quantity]]*tblBelgaumOrders[[#This Row],[Order_Amount]]</f>
        <v>3542.68</v>
      </c>
    </row>
    <row r="479" spans="1:12" x14ac:dyDescent="0.3">
      <c r="A479" t="s">
        <v>520</v>
      </c>
      <c r="B479" s="2">
        <v>45869</v>
      </c>
      <c r="C479" s="2" t="str">
        <f>TEXT(tblBelgaumOrders[[#This Row],[Order_Date]],"mmm")</f>
        <v>Jul</v>
      </c>
      <c r="D479" t="s">
        <v>34</v>
      </c>
      <c r="E479" t="s">
        <v>2</v>
      </c>
      <c r="F479" t="s">
        <v>9</v>
      </c>
      <c r="G479" t="s">
        <v>17</v>
      </c>
      <c r="H479" t="s">
        <v>10</v>
      </c>
      <c r="I479" t="s">
        <v>11</v>
      </c>
      <c r="J479">
        <v>6</v>
      </c>
      <c r="K479" s="3">
        <v>0</v>
      </c>
      <c r="L479" s="3">
        <f>tblBelgaumOrders[[#This Row],[Quantity]]*tblBelgaumOrders[[#This Row],[Order_Amount]]</f>
        <v>0</v>
      </c>
    </row>
    <row r="480" spans="1:12" x14ac:dyDescent="0.3">
      <c r="A480" t="s">
        <v>521</v>
      </c>
      <c r="B480" s="2">
        <v>45749</v>
      </c>
      <c r="C480" s="2" t="str">
        <f>TEXT(tblBelgaumOrders[[#This Row],[Order_Date]],"mmm")</f>
        <v>Apr</v>
      </c>
      <c r="D480" t="s">
        <v>55</v>
      </c>
      <c r="E480" t="s">
        <v>2</v>
      </c>
      <c r="F480" t="s">
        <v>9</v>
      </c>
      <c r="G480" t="s">
        <v>4</v>
      </c>
      <c r="H480" t="s">
        <v>10</v>
      </c>
      <c r="I480" t="s">
        <v>18</v>
      </c>
      <c r="J480">
        <v>4</v>
      </c>
      <c r="K480" s="3">
        <v>755.57</v>
      </c>
      <c r="L480" s="3">
        <f>tblBelgaumOrders[[#This Row],[Quantity]]*tblBelgaumOrders[[#This Row],[Order_Amount]]</f>
        <v>3022.28</v>
      </c>
    </row>
    <row r="481" spans="1:12" x14ac:dyDescent="0.3">
      <c r="A481" t="s">
        <v>522</v>
      </c>
      <c r="B481" s="2">
        <v>45760</v>
      </c>
      <c r="C481" s="2" t="str">
        <f>TEXT(tblBelgaumOrders[[#This Row],[Order_Date]],"mmm")</f>
        <v>Apr</v>
      </c>
      <c r="D481" t="s">
        <v>50</v>
      </c>
      <c r="E481" t="s">
        <v>14</v>
      </c>
      <c r="F481" t="s">
        <v>73</v>
      </c>
      <c r="G481" t="s">
        <v>4</v>
      </c>
      <c r="H481" t="s">
        <v>10</v>
      </c>
      <c r="I481" t="s">
        <v>11</v>
      </c>
      <c r="J481">
        <v>25</v>
      </c>
      <c r="K481" s="3">
        <v>10117.969999999999</v>
      </c>
      <c r="L481" s="3">
        <f>tblBelgaumOrders[[#This Row],[Quantity]]*tblBelgaumOrders[[#This Row],[Order_Amount]]</f>
        <v>252949.24999999997</v>
      </c>
    </row>
    <row r="482" spans="1:12" x14ac:dyDescent="0.3">
      <c r="A482" t="s">
        <v>523</v>
      </c>
      <c r="B482" s="2">
        <v>45712</v>
      </c>
      <c r="C482" s="2" t="str">
        <f>TEXT(tblBelgaumOrders[[#This Row],[Order_Date]],"mmm")</f>
        <v>Feb</v>
      </c>
      <c r="D482" t="s">
        <v>1</v>
      </c>
      <c r="E482" t="s">
        <v>24</v>
      </c>
      <c r="F482" t="s">
        <v>26</v>
      </c>
      <c r="G482" t="s">
        <v>4</v>
      </c>
      <c r="H482" t="s">
        <v>5</v>
      </c>
      <c r="I482" t="s">
        <v>18</v>
      </c>
      <c r="J482">
        <v>4</v>
      </c>
      <c r="K482" s="3">
        <v>3006.37</v>
      </c>
      <c r="L482" s="3">
        <f>tblBelgaumOrders[[#This Row],[Quantity]]*tblBelgaumOrders[[#This Row],[Order_Amount]]</f>
        <v>12025.48</v>
      </c>
    </row>
    <row r="483" spans="1:12" x14ac:dyDescent="0.3">
      <c r="A483" t="s">
        <v>524</v>
      </c>
      <c r="B483" s="2">
        <v>45819</v>
      </c>
      <c r="C483" s="2" t="str">
        <f>TEXT(tblBelgaumOrders[[#This Row],[Order_Date]],"mmm")</f>
        <v>Jun</v>
      </c>
      <c r="D483" t="s">
        <v>55</v>
      </c>
      <c r="E483" t="s">
        <v>14</v>
      </c>
      <c r="F483" t="s">
        <v>73</v>
      </c>
      <c r="G483" t="s">
        <v>4</v>
      </c>
      <c r="H483" t="s">
        <v>10</v>
      </c>
      <c r="I483" t="s">
        <v>11</v>
      </c>
      <c r="J483">
        <v>22</v>
      </c>
      <c r="K483" s="3">
        <v>8483.7999999999993</v>
      </c>
      <c r="L483" s="3">
        <f>tblBelgaumOrders[[#This Row],[Quantity]]*tblBelgaumOrders[[#This Row],[Order_Amount]]</f>
        <v>186643.59999999998</v>
      </c>
    </row>
    <row r="484" spans="1:12" x14ac:dyDescent="0.3">
      <c r="A484" t="s">
        <v>525</v>
      </c>
      <c r="B484" s="2">
        <v>45771</v>
      </c>
      <c r="C484" s="2" t="str">
        <f>TEXT(tblBelgaumOrders[[#This Row],[Order_Date]],"mmm")</f>
        <v>Apr</v>
      </c>
      <c r="D484" t="s">
        <v>75</v>
      </c>
      <c r="E484" t="s">
        <v>2</v>
      </c>
      <c r="F484" t="s">
        <v>21</v>
      </c>
      <c r="G484" t="s">
        <v>4</v>
      </c>
      <c r="H484" t="s">
        <v>10</v>
      </c>
      <c r="I484" t="s">
        <v>6</v>
      </c>
      <c r="J484">
        <v>7</v>
      </c>
      <c r="K484" s="3">
        <v>1063.6400000000001</v>
      </c>
      <c r="L484" s="3">
        <f>tblBelgaumOrders[[#This Row],[Quantity]]*tblBelgaumOrders[[#This Row],[Order_Amount]]</f>
        <v>7445.4800000000005</v>
      </c>
    </row>
    <row r="485" spans="1:12" x14ac:dyDescent="0.3">
      <c r="A485" t="s">
        <v>526</v>
      </c>
      <c r="B485" s="2">
        <v>45747</v>
      </c>
      <c r="C485" s="2" t="str">
        <f>TEXT(tblBelgaumOrders[[#This Row],[Order_Date]],"mmm")</f>
        <v>Mar</v>
      </c>
      <c r="D485" t="s">
        <v>32</v>
      </c>
      <c r="E485" t="s">
        <v>24</v>
      </c>
      <c r="F485" t="s">
        <v>40</v>
      </c>
      <c r="G485" t="s">
        <v>4</v>
      </c>
      <c r="H485" t="s">
        <v>5</v>
      </c>
      <c r="I485" t="s">
        <v>11</v>
      </c>
      <c r="J485">
        <v>9</v>
      </c>
      <c r="K485" s="3">
        <v>1499.49</v>
      </c>
      <c r="L485" s="3">
        <f>tblBelgaumOrders[[#This Row],[Quantity]]*tblBelgaumOrders[[#This Row],[Order_Amount]]</f>
        <v>13495.41</v>
      </c>
    </row>
    <row r="486" spans="1:12" x14ac:dyDescent="0.3">
      <c r="A486" t="s">
        <v>527</v>
      </c>
      <c r="B486" s="2">
        <v>45843</v>
      </c>
      <c r="C486" s="2" t="str">
        <f>TEXT(tblBelgaumOrders[[#This Row],[Order_Date]],"mmm")</f>
        <v>Jul</v>
      </c>
      <c r="D486" t="s">
        <v>13</v>
      </c>
      <c r="E486" t="s">
        <v>2</v>
      </c>
      <c r="F486" t="s">
        <v>3</v>
      </c>
      <c r="G486" t="s">
        <v>4</v>
      </c>
      <c r="H486" t="s">
        <v>63</v>
      </c>
      <c r="I486" t="s">
        <v>11</v>
      </c>
      <c r="J486">
        <v>3</v>
      </c>
      <c r="K486" s="3">
        <v>818.42</v>
      </c>
      <c r="L486" s="3">
        <f>tblBelgaumOrders[[#This Row],[Quantity]]*tblBelgaumOrders[[#This Row],[Order_Amount]]</f>
        <v>2455.2599999999998</v>
      </c>
    </row>
    <row r="487" spans="1:12" x14ac:dyDescent="0.3">
      <c r="A487" t="s">
        <v>528</v>
      </c>
      <c r="B487" s="2">
        <v>45765</v>
      </c>
      <c r="C487" s="2" t="str">
        <f>TEXT(tblBelgaumOrders[[#This Row],[Order_Date]],"mmm")</f>
        <v>Apr</v>
      </c>
      <c r="D487" t="s">
        <v>79</v>
      </c>
      <c r="E487" t="s">
        <v>14</v>
      </c>
      <c r="F487" t="s">
        <v>51</v>
      </c>
      <c r="G487" t="s">
        <v>17</v>
      </c>
      <c r="H487" t="s">
        <v>10</v>
      </c>
      <c r="I487" t="s">
        <v>11</v>
      </c>
      <c r="J487">
        <v>10</v>
      </c>
      <c r="K487" s="3">
        <v>0</v>
      </c>
      <c r="L487" s="3">
        <f>tblBelgaumOrders[[#This Row],[Quantity]]*tblBelgaumOrders[[#This Row],[Order_Amount]]</f>
        <v>0</v>
      </c>
    </row>
    <row r="488" spans="1:12" x14ac:dyDescent="0.3">
      <c r="A488" t="s">
        <v>529</v>
      </c>
      <c r="B488" s="2">
        <v>45709</v>
      </c>
      <c r="C488" s="2" t="str">
        <f>TEXT(tblBelgaumOrders[[#This Row],[Order_Date]],"mmm")</f>
        <v>Feb</v>
      </c>
      <c r="D488" t="s">
        <v>13</v>
      </c>
      <c r="E488" t="s">
        <v>14</v>
      </c>
      <c r="F488" t="s">
        <v>37</v>
      </c>
      <c r="G488" t="s">
        <v>17</v>
      </c>
      <c r="H488" t="s">
        <v>10</v>
      </c>
      <c r="I488" t="s">
        <v>18</v>
      </c>
      <c r="J488">
        <v>10</v>
      </c>
      <c r="K488" s="3">
        <v>0</v>
      </c>
      <c r="L488" s="3">
        <f>tblBelgaumOrders[[#This Row],[Quantity]]*tblBelgaumOrders[[#This Row],[Order_Amount]]</f>
        <v>0</v>
      </c>
    </row>
    <row r="489" spans="1:12" x14ac:dyDescent="0.3">
      <c r="A489" t="s">
        <v>530</v>
      </c>
      <c r="B489" s="2">
        <v>45662</v>
      </c>
      <c r="C489" s="2" t="str">
        <f>TEXT(tblBelgaumOrders[[#This Row],[Order_Date]],"mmm")</f>
        <v>Jan</v>
      </c>
      <c r="D489" t="s">
        <v>58</v>
      </c>
      <c r="E489" t="s">
        <v>2</v>
      </c>
      <c r="F489" t="s">
        <v>9</v>
      </c>
      <c r="G489" t="s">
        <v>17</v>
      </c>
      <c r="H489" t="s">
        <v>5</v>
      </c>
      <c r="I489" t="s">
        <v>6</v>
      </c>
      <c r="J489">
        <v>6</v>
      </c>
      <c r="K489" s="3">
        <v>0</v>
      </c>
      <c r="L489" s="3">
        <f>tblBelgaumOrders[[#This Row],[Quantity]]*tblBelgaumOrders[[#This Row],[Order_Amount]]</f>
        <v>0</v>
      </c>
    </row>
    <row r="490" spans="1:12" x14ac:dyDescent="0.3">
      <c r="A490" t="s">
        <v>531</v>
      </c>
      <c r="B490" s="2">
        <v>45811</v>
      </c>
      <c r="C490" s="2" t="str">
        <f>TEXT(tblBelgaumOrders[[#This Row],[Order_Date]],"mmm")</f>
        <v>Jun</v>
      </c>
      <c r="D490" t="s">
        <v>13</v>
      </c>
      <c r="E490" t="s">
        <v>2</v>
      </c>
      <c r="F490" t="s">
        <v>37</v>
      </c>
      <c r="G490" t="s">
        <v>4</v>
      </c>
      <c r="H490" t="s">
        <v>5</v>
      </c>
      <c r="I490" t="s">
        <v>11</v>
      </c>
      <c r="J490">
        <v>5</v>
      </c>
      <c r="K490" s="3">
        <v>1139.52</v>
      </c>
      <c r="L490" s="3">
        <f>tblBelgaumOrders[[#This Row],[Quantity]]*tblBelgaumOrders[[#This Row],[Order_Amount]]</f>
        <v>5697.6</v>
      </c>
    </row>
    <row r="491" spans="1:12" x14ac:dyDescent="0.3">
      <c r="A491" t="s">
        <v>532</v>
      </c>
      <c r="B491" s="2">
        <v>45980</v>
      </c>
      <c r="C491" s="2" t="str">
        <f>TEXT(tblBelgaumOrders[[#This Row],[Order_Date]],"mmm")</f>
        <v>Nov</v>
      </c>
      <c r="D491" t="s">
        <v>1</v>
      </c>
      <c r="E491" t="s">
        <v>2</v>
      </c>
      <c r="F491" t="s">
        <v>51</v>
      </c>
      <c r="G491" t="s">
        <v>4</v>
      </c>
      <c r="H491" t="s">
        <v>10</v>
      </c>
      <c r="I491" t="s">
        <v>46</v>
      </c>
      <c r="J491">
        <v>5</v>
      </c>
      <c r="K491" s="3">
        <v>8608.36</v>
      </c>
      <c r="L491" s="3">
        <f>tblBelgaumOrders[[#This Row],[Quantity]]*tblBelgaumOrders[[#This Row],[Order_Amount]]</f>
        <v>43041.8</v>
      </c>
    </row>
    <row r="492" spans="1:12" x14ac:dyDescent="0.3">
      <c r="A492" t="s">
        <v>533</v>
      </c>
      <c r="B492" s="2">
        <v>45837</v>
      </c>
      <c r="C492" s="2" t="str">
        <f>TEXT(tblBelgaumOrders[[#This Row],[Order_Date]],"mmm")</f>
        <v>Jun</v>
      </c>
      <c r="D492" t="s">
        <v>48</v>
      </c>
      <c r="E492" t="s">
        <v>2</v>
      </c>
      <c r="F492" t="s">
        <v>26</v>
      </c>
      <c r="G492" t="s">
        <v>4</v>
      </c>
      <c r="H492" t="s">
        <v>63</v>
      </c>
      <c r="I492" t="s">
        <v>11</v>
      </c>
      <c r="J492">
        <v>6</v>
      </c>
      <c r="K492" s="3">
        <v>3738.69</v>
      </c>
      <c r="L492" s="3">
        <f>tblBelgaumOrders[[#This Row],[Quantity]]*tblBelgaumOrders[[#This Row],[Order_Amount]]</f>
        <v>22432.14</v>
      </c>
    </row>
    <row r="493" spans="1:12" x14ac:dyDescent="0.3">
      <c r="A493" t="s">
        <v>534</v>
      </c>
      <c r="B493" s="2">
        <v>45907</v>
      </c>
      <c r="C493" s="2" t="str">
        <f>TEXT(tblBelgaumOrders[[#This Row],[Order_Date]],"mmm")</f>
        <v>Sep</v>
      </c>
      <c r="D493" t="s">
        <v>32</v>
      </c>
      <c r="E493" t="s">
        <v>14</v>
      </c>
      <c r="F493" t="s">
        <v>51</v>
      </c>
      <c r="G493" t="s">
        <v>4</v>
      </c>
      <c r="H493" t="s">
        <v>5</v>
      </c>
      <c r="I493" t="s">
        <v>11</v>
      </c>
      <c r="J493">
        <v>11</v>
      </c>
      <c r="K493" s="3">
        <v>22460.1</v>
      </c>
      <c r="L493" s="3">
        <f>tblBelgaumOrders[[#This Row],[Quantity]]*tblBelgaumOrders[[#This Row],[Order_Amount]]</f>
        <v>247061.09999999998</v>
      </c>
    </row>
    <row r="494" spans="1:12" x14ac:dyDescent="0.3">
      <c r="A494" t="s">
        <v>535</v>
      </c>
      <c r="B494" s="2">
        <v>45873</v>
      </c>
      <c r="C494" s="2" t="str">
        <f>TEXT(tblBelgaumOrders[[#This Row],[Order_Date]],"mmm")</f>
        <v>Aug</v>
      </c>
      <c r="D494" t="s">
        <v>29</v>
      </c>
      <c r="E494" t="s">
        <v>14</v>
      </c>
      <c r="F494" t="s">
        <v>9</v>
      </c>
      <c r="G494" t="s">
        <v>4</v>
      </c>
      <c r="H494" t="s">
        <v>10</v>
      </c>
      <c r="I494" t="s">
        <v>11</v>
      </c>
      <c r="J494">
        <v>15</v>
      </c>
      <c r="K494" s="3">
        <v>3175.9</v>
      </c>
      <c r="L494" s="3">
        <f>tblBelgaumOrders[[#This Row],[Quantity]]*tblBelgaumOrders[[#This Row],[Order_Amount]]</f>
        <v>47638.5</v>
      </c>
    </row>
    <row r="495" spans="1:12" x14ac:dyDescent="0.3">
      <c r="A495" t="s">
        <v>536</v>
      </c>
      <c r="B495" s="2">
        <v>45967</v>
      </c>
      <c r="C495" s="2" t="str">
        <f>TEXT(tblBelgaumOrders[[#This Row],[Order_Date]],"mmm")</f>
        <v>Nov</v>
      </c>
      <c r="D495" t="s">
        <v>29</v>
      </c>
      <c r="E495" t="s">
        <v>2</v>
      </c>
      <c r="F495" t="s">
        <v>77</v>
      </c>
      <c r="G495" t="s">
        <v>17</v>
      </c>
      <c r="H495" t="s">
        <v>10</v>
      </c>
      <c r="I495" t="s">
        <v>6</v>
      </c>
      <c r="J495">
        <v>8</v>
      </c>
      <c r="K495" s="3">
        <v>0</v>
      </c>
      <c r="L495" s="3">
        <f>tblBelgaumOrders[[#This Row],[Quantity]]*tblBelgaumOrders[[#This Row],[Order_Amount]]</f>
        <v>0</v>
      </c>
    </row>
    <row r="496" spans="1:12" x14ac:dyDescent="0.3">
      <c r="A496" t="s">
        <v>537</v>
      </c>
      <c r="B496" s="2">
        <v>45752</v>
      </c>
      <c r="C496" s="2" t="str">
        <f>TEXT(tblBelgaumOrders[[#This Row],[Order_Date]],"mmm")</f>
        <v>Apr</v>
      </c>
      <c r="D496" t="s">
        <v>67</v>
      </c>
      <c r="E496" t="s">
        <v>2</v>
      </c>
      <c r="F496" t="s">
        <v>3</v>
      </c>
      <c r="G496" t="s">
        <v>4</v>
      </c>
      <c r="H496" t="s">
        <v>5</v>
      </c>
      <c r="I496" t="s">
        <v>18</v>
      </c>
      <c r="J496">
        <v>4</v>
      </c>
      <c r="K496" s="3">
        <v>884.15</v>
      </c>
      <c r="L496" s="3">
        <f>tblBelgaumOrders[[#This Row],[Quantity]]*tblBelgaumOrders[[#This Row],[Order_Amount]]</f>
        <v>3536.6</v>
      </c>
    </row>
    <row r="497" spans="1:12" x14ac:dyDescent="0.3">
      <c r="A497" t="s">
        <v>538</v>
      </c>
      <c r="B497" s="2">
        <v>45710</v>
      </c>
      <c r="C497" s="2" t="str">
        <f>TEXT(tblBelgaumOrders[[#This Row],[Order_Date]],"mmm")</f>
        <v>Feb</v>
      </c>
      <c r="D497" t="s">
        <v>1</v>
      </c>
      <c r="E497" t="s">
        <v>2</v>
      </c>
      <c r="F497" t="s">
        <v>73</v>
      </c>
      <c r="G497" t="s">
        <v>4</v>
      </c>
      <c r="H497" t="s">
        <v>10</v>
      </c>
      <c r="I497" t="s">
        <v>11</v>
      </c>
      <c r="J497">
        <v>2</v>
      </c>
      <c r="K497" s="3">
        <v>682.38</v>
      </c>
      <c r="L497" s="3">
        <f>tblBelgaumOrders[[#This Row],[Quantity]]*tblBelgaumOrders[[#This Row],[Order_Amount]]</f>
        <v>1364.76</v>
      </c>
    </row>
    <row r="498" spans="1:12" x14ac:dyDescent="0.3">
      <c r="A498" t="s">
        <v>539</v>
      </c>
      <c r="B498" s="2">
        <v>45974</v>
      </c>
      <c r="C498" s="2" t="str">
        <f>TEXT(tblBelgaumOrders[[#This Row],[Order_Date]],"mmm")</f>
        <v>Nov</v>
      </c>
      <c r="D498" t="s">
        <v>75</v>
      </c>
      <c r="E498" t="s">
        <v>2</v>
      </c>
      <c r="F498" t="s">
        <v>73</v>
      </c>
      <c r="G498" t="s">
        <v>4</v>
      </c>
      <c r="H498" t="s">
        <v>10</v>
      </c>
      <c r="I498" t="s">
        <v>18</v>
      </c>
      <c r="J498">
        <v>8</v>
      </c>
      <c r="K498" s="3">
        <v>3782.99</v>
      </c>
      <c r="L498" s="3">
        <f>tblBelgaumOrders[[#This Row],[Quantity]]*tblBelgaumOrders[[#This Row],[Order_Amount]]</f>
        <v>30263.919999999998</v>
      </c>
    </row>
    <row r="499" spans="1:12" x14ac:dyDescent="0.3">
      <c r="A499" t="s">
        <v>540</v>
      </c>
      <c r="B499" s="2">
        <v>45725</v>
      </c>
      <c r="C499" s="2" t="str">
        <f>TEXT(tblBelgaumOrders[[#This Row],[Order_Date]],"mmm")</f>
        <v>Mar</v>
      </c>
      <c r="D499" t="s">
        <v>42</v>
      </c>
      <c r="E499" t="s">
        <v>14</v>
      </c>
      <c r="F499" t="s">
        <v>9</v>
      </c>
      <c r="G499" t="s">
        <v>4</v>
      </c>
      <c r="H499" t="s">
        <v>5</v>
      </c>
      <c r="I499" t="s">
        <v>11</v>
      </c>
      <c r="J499">
        <v>21</v>
      </c>
      <c r="K499" s="3">
        <v>3894.59</v>
      </c>
      <c r="L499" s="3">
        <f>tblBelgaumOrders[[#This Row],[Quantity]]*tblBelgaumOrders[[#This Row],[Order_Amount]]</f>
        <v>81786.39</v>
      </c>
    </row>
    <row r="500" spans="1:12" x14ac:dyDescent="0.3">
      <c r="A500" t="s">
        <v>541</v>
      </c>
      <c r="B500" s="2">
        <v>45934</v>
      </c>
      <c r="C500" s="2" t="str">
        <f>TEXT(tblBelgaumOrders[[#This Row],[Order_Date]],"mmm")</f>
        <v>Oct</v>
      </c>
      <c r="D500" t="s">
        <v>13</v>
      </c>
      <c r="E500" t="s">
        <v>2</v>
      </c>
      <c r="F500" t="s">
        <v>9</v>
      </c>
      <c r="G500" t="s">
        <v>30</v>
      </c>
      <c r="H500" t="s">
        <v>10</v>
      </c>
      <c r="I500" t="s">
        <v>6</v>
      </c>
      <c r="J500">
        <v>8</v>
      </c>
      <c r="K500" s="3">
        <v>1625.23</v>
      </c>
      <c r="L500" s="3">
        <f>tblBelgaumOrders[[#This Row],[Quantity]]*tblBelgaumOrders[[#This Row],[Order_Amount]]</f>
        <v>13001.84</v>
      </c>
    </row>
    <row r="501" spans="1:12" x14ac:dyDescent="0.3">
      <c r="A501" t="s">
        <v>542</v>
      </c>
      <c r="B501" s="2">
        <v>45983</v>
      </c>
      <c r="C501" s="2" t="str">
        <f>TEXT(tblBelgaumOrders[[#This Row],[Order_Date]],"mmm")</f>
        <v>Nov</v>
      </c>
      <c r="D501" t="s">
        <v>79</v>
      </c>
      <c r="E501" t="s">
        <v>2</v>
      </c>
      <c r="F501" t="s">
        <v>26</v>
      </c>
      <c r="G501" t="s">
        <v>4</v>
      </c>
      <c r="H501" t="s">
        <v>10</v>
      </c>
      <c r="I501" t="s">
        <v>6</v>
      </c>
      <c r="J501">
        <v>2</v>
      </c>
      <c r="K501" s="3">
        <v>1096.33</v>
      </c>
      <c r="L501" s="3">
        <f>tblBelgaumOrders[[#This Row],[Quantity]]*tblBelgaumOrders[[#This Row],[Order_Amount]]</f>
        <v>2192.66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ED1E3-6BEB-4C24-A948-47B5AABF8C2F}">
  <dimension ref="A1:B21"/>
  <sheetViews>
    <sheetView workbookViewId="0">
      <selection activeCell="A2" sqref="A2:XFD21"/>
    </sheetView>
  </sheetViews>
  <sheetFormatPr defaultRowHeight="14.4" x14ac:dyDescent="0.3"/>
  <cols>
    <col min="1" max="1" width="6" style="12" customWidth="1"/>
    <col min="2" max="2" width="63.77734375" customWidth="1"/>
  </cols>
  <sheetData>
    <row r="1" spans="1:2" s="20" customFormat="1" ht="18" x14ac:dyDescent="0.3">
      <c r="A1" s="19" t="s">
        <v>593</v>
      </c>
      <c r="B1" s="19" t="s">
        <v>594</v>
      </c>
    </row>
    <row r="2" spans="1:2" s="13" customFormat="1" ht="18" x14ac:dyDescent="0.35">
      <c r="A2" s="22">
        <v>1</v>
      </c>
      <c r="B2" s="13" t="s">
        <v>573</v>
      </c>
    </row>
    <row r="3" spans="1:2" s="13" customFormat="1" ht="18" x14ac:dyDescent="0.35">
      <c r="A3" s="22">
        <v>2</v>
      </c>
      <c r="B3" s="13" t="s">
        <v>574</v>
      </c>
    </row>
    <row r="4" spans="1:2" s="13" customFormat="1" ht="18" x14ac:dyDescent="0.35">
      <c r="A4" s="22">
        <v>3</v>
      </c>
      <c r="B4" s="13" t="s">
        <v>575</v>
      </c>
    </row>
    <row r="5" spans="1:2" s="13" customFormat="1" ht="18" x14ac:dyDescent="0.35">
      <c r="A5" s="22">
        <v>4</v>
      </c>
      <c r="B5" s="13" t="s">
        <v>576</v>
      </c>
    </row>
    <row r="6" spans="1:2" s="13" customFormat="1" ht="18" x14ac:dyDescent="0.35">
      <c r="A6" s="22">
        <v>5</v>
      </c>
      <c r="B6" s="13" t="s">
        <v>577</v>
      </c>
    </row>
    <row r="7" spans="1:2" s="13" customFormat="1" ht="18" x14ac:dyDescent="0.35">
      <c r="A7" s="22">
        <v>6</v>
      </c>
      <c r="B7" s="13" t="s">
        <v>578</v>
      </c>
    </row>
    <row r="8" spans="1:2" s="13" customFormat="1" ht="18" x14ac:dyDescent="0.35">
      <c r="A8" s="22">
        <v>7</v>
      </c>
      <c r="B8" s="13" t="s">
        <v>579</v>
      </c>
    </row>
    <row r="9" spans="1:2" s="13" customFormat="1" ht="18" x14ac:dyDescent="0.35">
      <c r="A9" s="22">
        <v>8</v>
      </c>
      <c r="B9" s="13" t="s">
        <v>580</v>
      </c>
    </row>
    <row r="10" spans="1:2" s="13" customFormat="1" ht="18" x14ac:dyDescent="0.35">
      <c r="A10" s="22">
        <v>9</v>
      </c>
      <c r="B10" s="13" t="s">
        <v>581</v>
      </c>
    </row>
    <row r="11" spans="1:2" s="13" customFormat="1" ht="18" x14ac:dyDescent="0.35">
      <c r="A11" s="22">
        <v>10</v>
      </c>
      <c r="B11" s="13" t="s">
        <v>582</v>
      </c>
    </row>
    <row r="12" spans="1:2" s="13" customFormat="1" ht="18" x14ac:dyDescent="0.35">
      <c r="A12" s="22">
        <v>11</v>
      </c>
      <c r="B12" s="13" t="s">
        <v>583</v>
      </c>
    </row>
    <row r="13" spans="1:2" s="13" customFormat="1" ht="18" x14ac:dyDescent="0.35">
      <c r="A13" s="22">
        <v>12</v>
      </c>
      <c r="B13" s="13" t="s">
        <v>584</v>
      </c>
    </row>
    <row r="14" spans="1:2" s="13" customFormat="1" ht="18" x14ac:dyDescent="0.35">
      <c r="A14" s="22">
        <v>13</v>
      </c>
      <c r="B14" s="13" t="s">
        <v>585</v>
      </c>
    </row>
    <row r="15" spans="1:2" s="13" customFormat="1" ht="18" x14ac:dyDescent="0.35">
      <c r="A15" s="22">
        <v>14</v>
      </c>
      <c r="B15" s="13" t="s">
        <v>586</v>
      </c>
    </row>
    <row r="16" spans="1:2" s="13" customFormat="1" ht="18" x14ac:dyDescent="0.35">
      <c r="A16" s="22">
        <v>15</v>
      </c>
      <c r="B16" s="13" t="s">
        <v>587</v>
      </c>
    </row>
    <row r="17" spans="1:2" s="13" customFormat="1" ht="18" x14ac:dyDescent="0.35">
      <c r="A17" s="22">
        <v>16</v>
      </c>
      <c r="B17" s="13" t="s">
        <v>588</v>
      </c>
    </row>
    <row r="18" spans="1:2" s="13" customFormat="1" ht="18" x14ac:dyDescent="0.35">
      <c r="A18" s="22">
        <v>17</v>
      </c>
      <c r="B18" s="13" t="s">
        <v>589</v>
      </c>
    </row>
    <row r="19" spans="1:2" s="13" customFormat="1" ht="18" x14ac:dyDescent="0.35">
      <c r="A19" s="22">
        <v>18</v>
      </c>
      <c r="B19" s="13" t="s">
        <v>590</v>
      </c>
    </row>
    <row r="20" spans="1:2" s="13" customFormat="1" ht="18" x14ac:dyDescent="0.35">
      <c r="A20" s="22">
        <v>19</v>
      </c>
      <c r="B20" s="13" t="s">
        <v>591</v>
      </c>
    </row>
    <row r="21" spans="1:2" s="13" customFormat="1" ht="18" x14ac:dyDescent="0.35">
      <c r="A21" s="22">
        <v>20</v>
      </c>
      <c r="B21" s="13" t="s">
        <v>592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D07C7-97DF-422A-A63F-E552ECE511B5}">
  <dimension ref="A1:DC131"/>
  <sheetViews>
    <sheetView topLeftCell="A61" workbookViewId="0">
      <selection activeCell="G135" sqref="G135"/>
    </sheetView>
  </sheetViews>
  <sheetFormatPr defaultRowHeight="14.4" x14ac:dyDescent="0.3"/>
  <cols>
    <col min="1" max="1" width="3.6640625" bestFit="1" customWidth="1"/>
    <col min="2" max="2" width="24.77734375" bestFit="1" customWidth="1"/>
    <col min="3" max="3" width="16.6640625" bestFit="1" customWidth="1"/>
    <col min="4" max="4" width="10.33203125" bestFit="1" customWidth="1"/>
    <col min="5" max="6" width="12.109375" bestFit="1" customWidth="1"/>
    <col min="7" max="25" width="10.33203125" bestFit="1" customWidth="1"/>
    <col min="26" max="26" width="12.109375" bestFit="1" customWidth="1"/>
    <col min="27" max="63" width="10.33203125" bestFit="1" customWidth="1"/>
    <col min="64" max="64" width="12.109375" bestFit="1" customWidth="1"/>
    <col min="65" max="104" width="9.109375" bestFit="1" customWidth="1"/>
    <col min="105" max="105" width="12.6640625" bestFit="1" customWidth="1"/>
  </cols>
  <sheetData>
    <row r="1" spans="1:107" ht="18" x14ac:dyDescent="0.35">
      <c r="A1" s="14">
        <v>1</v>
      </c>
      <c r="B1" s="21" t="s">
        <v>573</v>
      </c>
      <c r="C1" s="21"/>
      <c r="D1" s="21"/>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row>
    <row r="2" spans="1:107" x14ac:dyDescent="0.3">
      <c r="B2" s="5" t="s">
        <v>548</v>
      </c>
      <c r="C2" t="s">
        <v>4</v>
      </c>
    </row>
    <row r="4" spans="1:107" x14ac:dyDescent="0.3">
      <c r="B4" s="5" t="s">
        <v>572</v>
      </c>
    </row>
    <row r="5" spans="1:107" ht="15.6" x14ac:dyDescent="0.3">
      <c r="B5" s="15">
        <v>354</v>
      </c>
    </row>
    <row r="7" spans="1:107" ht="18" x14ac:dyDescent="0.35">
      <c r="A7" s="14">
        <v>2</v>
      </c>
      <c r="B7" s="21" t="s">
        <v>574</v>
      </c>
      <c r="C7" s="21"/>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row>
    <row r="8" spans="1:107" x14ac:dyDescent="0.3">
      <c r="B8" s="5" t="s">
        <v>548</v>
      </c>
      <c r="C8" t="s">
        <v>17</v>
      </c>
    </row>
    <row r="10" spans="1:107" x14ac:dyDescent="0.3">
      <c r="B10" s="5" t="s">
        <v>595</v>
      </c>
    </row>
    <row r="11" spans="1:107" ht="15.6" x14ac:dyDescent="0.3">
      <c r="B11" s="15">
        <v>50</v>
      </c>
    </row>
    <row r="13" spans="1:107" ht="18" x14ac:dyDescent="0.35">
      <c r="A13" s="14">
        <v>3</v>
      </c>
      <c r="B13" s="21" t="s">
        <v>575</v>
      </c>
      <c r="C13" s="21"/>
      <c r="D13" s="21"/>
      <c r="E13" s="21"/>
      <c r="F13" s="21"/>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4"/>
      <c r="CX13" s="14"/>
      <c r="CY13" s="14"/>
      <c r="CZ13" s="14"/>
      <c r="DA13" s="14"/>
      <c r="DB13" s="14"/>
      <c r="DC13" s="14"/>
    </row>
    <row r="14" spans="1:107" x14ac:dyDescent="0.3">
      <c r="B14" s="5" t="s">
        <v>547</v>
      </c>
      <c r="C14" t="s">
        <v>9</v>
      </c>
    </row>
    <row r="16" spans="1:107" x14ac:dyDescent="0.3">
      <c r="B16" s="5" t="s">
        <v>596</v>
      </c>
    </row>
    <row r="17" spans="1:107" ht="15.6" x14ac:dyDescent="0.3">
      <c r="B17" s="16">
        <v>156170.37000000002</v>
      </c>
    </row>
    <row r="19" spans="1:107" ht="18" x14ac:dyDescent="0.35">
      <c r="A19" s="14">
        <v>4</v>
      </c>
      <c r="B19" s="21" t="s">
        <v>576</v>
      </c>
      <c r="C19" s="21"/>
      <c r="D19" s="21"/>
      <c r="E19" s="21"/>
      <c r="F19" s="21"/>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4"/>
    </row>
    <row r="20" spans="1:107" x14ac:dyDescent="0.3">
      <c r="B20" s="5" t="s">
        <v>550</v>
      </c>
      <c r="C20" t="s">
        <v>11</v>
      </c>
    </row>
    <row r="22" spans="1:107" x14ac:dyDescent="0.3">
      <c r="B22" s="5" t="s">
        <v>596</v>
      </c>
    </row>
    <row r="23" spans="1:107" ht="15.6" x14ac:dyDescent="0.3">
      <c r="B23" s="16">
        <v>1052308.6100000001</v>
      </c>
    </row>
    <row r="25" spans="1:107" ht="18" x14ac:dyDescent="0.35">
      <c r="A25" s="14">
        <v>5</v>
      </c>
      <c r="B25" s="21" t="s">
        <v>577</v>
      </c>
      <c r="C25" s="21"/>
      <c r="D25" s="21"/>
      <c r="E25" s="21"/>
      <c r="F25" s="21"/>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O25" s="14"/>
      <c r="CP25" s="14"/>
      <c r="CQ25" s="14"/>
      <c r="CR25" s="14"/>
      <c r="CS25" s="14"/>
      <c r="CT25" s="14"/>
      <c r="CU25" s="14"/>
      <c r="CV25" s="14"/>
      <c r="CW25" s="14"/>
      <c r="CX25" s="14"/>
      <c r="CY25" s="14"/>
      <c r="CZ25" s="14"/>
      <c r="DA25" s="14"/>
      <c r="DB25" s="14"/>
      <c r="DC25" s="14"/>
    </row>
    <row r="26" spans="1:107" x14ac:dyDescent="0.3">
      <c r="B26" s="5" t="s">
        <v>549</v>
      </c>
      <c r="C26" t="s">
        <v>5</v>
      </c>
    </row>
    <row r="28" spans="1:107" x14ac:dyDescent="0.3">
      <c r="B28" s="5" t="s">
        <v>597</v>
      </c>
    </row>
    <row r="29" spans="1:107" ht="15.6" x14ac:dyDescent="0.3">
      <c r="B29" s="16">
        <v>4318.5593258426989</v>
      </c>
    </row>
    <row r="31" spans="1:107" ht="18" x14ac:dyDescent="0.35">
      <c r="A31" s="14">
        <v>6</v>
      </c>
      <c r="B31" s="21" t="s">
        <v>578</v>
      </c>
      <c r="C31" s="21"/>
      <c r="D31" s="21"/>
      <c r="E31" s="21"/>
      <c r="F31" s="21"/>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14"/>
      <c r="CR31" s="14"/>
      <c r="CS31" s="14"/>
      <c r="CT31" s="14"/>
      <c r="CU31" s="14"/>
      <c r="CV31" s="14"/>
      <c r="CW31" s="14"/>
      <c r="CX31" s="14"/>
      <c r="CY31" s="14"/>
      <c r="CZ31" s="14"/>
      <c r="DA31" s="14"/>
      <c r="DB31" s="14"/>
      <c r="DC31" s="14"/>
    </row>
    <row r="32" spans="1:107" x14ac:dyDescent="0.3">
      <c r="B32" s="5" t="s">
        <v>546</v>
      </c>
      <c r="C32" t="s">
        <v>14</v>
      </c>
    </row>
    <row r="34" spans="1:107" x14ac:dyDescent="0.3">
      <c r="B34" s="5" t="s">
        <v>598</v>
      </c>
    </row>
    <row r="35" spans="1:107" ht="15.6" x14ac:dyDescent="0.3">
      <c r="B35" s="15">
        <v>15.007874015748031</v>
      </c>
    </row>
    <row r="37" spans="1:107" ht="18" x14ac:dyDescent="0.35">
      <c r="A37" s="14">
        <v>7</v>
      </c>
      <c r="B37" s="21" t="s">
        <v>579</v>
      </c>
      <c r="C37" s="21"/>
      <c r="D37" s="21"/>
      <c r="E37" s="21"/>
      <c r="F37" s="21"/>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c r="BX37" s="14"/>
      <c r="BY37" s="14"/>
      <c r="BZ37" s="14"/>
      <c r="CA37" s="14"/>
      <c r="CB37" s="14"/>
      <c r="CC37" s="14"/>
      <c r="CD37" s="14"/>
      <c r="CE37" s="14"/>
      <c r="CF37" s="14"/>
      <c r="CG37" s="14"/>
      <c r="CH37" s="14"/>
      <c r="CI37" s="14"/>
      <c r="CJ37" s="14"/>
      <c r="CK37" s="14"/>
      <c r="CL37" s="14"/>
      <c r="CM37" s="14"/>
      <c r="CN37" s="14"/>
      <c r="CO37" s="14"/>
      <c r="CP37" s="14"/>
      <c r="CQ37" s="14"/>
      <c r="CR37" s="14"/>
      <c r="CS37" s="14"/>
      <c r="CT37" s="14"/>
      <c r="CU37" s="14"/>
      <c r="CV37" s="14"/>
      <c r="CW37" s="14"/>
      <c r="CX37" s="14"/>
      <c r="CY37" s="14"/>
      <c r="CZ37" s="14"/>
      <c r="DA37" s="14"/>
      <c r="DB37" s="14"/>
      <c r="DC37" s="14"/>
    </row>
    <row r="38" spans="1:107" x14ac:dyDescent="0.3">
      <c r="B38" s="5" t="s">
        <v>545</v>
      </c>
      <c r="C38" t="s">
        <v>67</v>
      </c>
    </row>
    <row r="40" spans="1:107" x14ac:dyDescent="0.3">
      <c r="B40" s="5"/>
      <c r="C40" s="5" t="s">
        <v>599</v>
      </c>
    </row>
    <row r="41" spans="1:107" x14ac:dyDescent="0.3">
      <c r="C41" t="s">
        <v>30</v>
      </c>
    </row>
    <row r="42" spans="1:107" ht="15.6" x14ac:dyDescent="0.3">
      <c r="B42" t="s">
        <v>572</v>
      </c>
      <c r="C42" s="15">
        <v>3</v>
      </c>
    </row>
    <row r="44" spans="1:107" ht="18" x14ac:dyDescent="0.35">
      <c r="A44" s="14">
        <v>8</v>
      </c>
      <c r="B44" s="21" t="s">
        <v>580</v>
      </c>
      <c r="C44" s="21"/>
      <c r="D44" s="21"/>
      <c r="E44" s="21"/>
      <c r="F44" s="21"/>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c r="BY44" s="14"/>
      <c r="BZ44" s="14"/>
      <c r="CA44" s="14"/>
      <c r="CB44" s="14"/>
      <c r="CC44" s="14"/>
      <c r="CD44" s="14"/>
      <c r="CE44" s="14"/>
      <c r="CF44" s="14"/>
      <c r="CG44" s="14"/>
      <c r="CH44" s="14"/>
      <c r="CI44" s="14"/>
      <c r="CJ44" s="14"/>
      <c r="CK44" s="14"/>
      <c r="CL44" s="14"/>
      <c r="CM44" s="14"/>
      <c r="CN44" s="14"/>
      <c r="CO44" s="14"/>
      <c r="CP44" s="14"/>
      <c r="CQ44" s="14"/>
      <c r="CR44" s="14"/>
      <c r="CS44" s="14"/>
      <c r="CT44" s="14"/>
      <c r="CU44" s="14"/>
      <c r="CV44" s="14"/>
      <c r="CW44" s="14"/>
      <c r="CX44" s="14"/>
      <c r="CY44" s="14"/>
      <c r="CZ44" s="14"/>
      <c r="DA44" s="14"/>
      <c r="DB44" s="14"/>
      <c r="DC44" s="14"/>
    </row>
    <row r="45" spans="1:107" x14ac:dyDescent="0.3">
      <c r="B45" s="5" t="s">
        <v>546</v>
      </c>
      <c r="C45" t="s">
        <v>24</v>
      </c>
    </row>
    <row r="47" spans="1:107" x14ac:dyDescent="0.3">
      <c r="B47" s="5"/>
      <c r="C47" s="5" t="s">
        <v>599</v>
      </c>
    </row>
    <row r="48" spans="1:107" x14ac:dyDescent="0.3">
      <c r="C48" t="s">
        <v>18</v>
      </c>
    </row>
    <row r="49" spans="1:107" ht="15.6" x14ac:dyDescent="0.3">
      <c r="B49" t="s">
        <v>600</v>
      </c>
      <c r="C49" s="15">
        <v>12</v>
      </c>
    </row>
    <row r="51" spans="1:107" ht="18" x14ac:dyDescent="0.35">
      <c r="A51" s="14">
        <v>9</v>
      </c>
      <c r="B51" s="21" t="s">
        <v>581</v>
      </c>
      <c r="C51" s="21"/>
      <c r="D51" s="21"/>
      <c r="E51" s="21"/>
      <c r="F51" s="21"/>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4"/>
      <c r="CO51" s="14"/>
      <c r="CP51" s="14"/>
      <c r="CQ51" s="14"/>
      <c r="CR51" s="14"/>
      <c r="CS51" s="14"/>
      <c r="CT51" s="14"/>
      <c r="CU51" s="14"/>
      <c r="CV51" s="14"/>
      <c r="CW51" s="14"/>
      <c r="CX51" s="14"/>
      <c r="CY51" s="14"/>
      <c r="CZ51" s="14"/>
      <c r="DA51" s="14"/>
      <c r="DB51" s="14"/>
      <c r="DC51" s="14"/>
    </row>
    <row r="52" spans="1:107" x14ac:dyDescent="0.3">
      <c r="B52" s="5" t="s">
        <v>545</v>
      </c>
      <c r="C52" t="s">
        <v>8</v>
      </c>
    </row>
    <row r="54" spans="1:107" x14ac:dyDescent="0.3">
      <c r="B54" s="5"/>
      <c r="C54" s="5" t="s">
        <v>599</v>
      </c>
    </row>
    <row r="55" spans="1:107" x14ac:dyDescent="0.3">
      <c r="C55" t="s">
        <v>14</v>
      </c>
    </row>
    <row r="56" spans="1:107" ht="15.6" x14ac:dyDescent="0.3">
      <c r="B56" t="s">
        <v>596</v>
      </c>
      <c r="C56" s="16">
        <v>54165.45</v>
      </c>
    </row>
    <row r="58" spans="1:107" ht="18" x14ac:dyDescent="0.35">
      <c r="A58" s="14">
        <v>10</v>
      </c>
      <c r="B58" s="21" t="s">
        <v>582</v>
      </c>
      <c r="C58" s="21"/>
      <c r="D58" s="21"/>
      <c r="E58" s="21"/>
      <c r="F58" s="21"/>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F58" s="14"/>
      <c r="CG58" s="14"/>
      <c r="CH58" s="14"/>
      <c r="CI58" s="14"/>
      <c r="CJ58" s="14"/>
      <c r="CK58" s="14"/>
      <c r="CL58" s="14"/>
      <c r="CM58" s="14"/>
      <c r="CN58" s="14"/>
      <c r="CO58" s="14"/>
      <c r="CP58" s="14"/>
      <c r="CQ58" s="14"/>
      <c r="CR58" s="14"/>
      <c r="CS58" s="14"/>
      <c r="CT58" s="14"/>
      <c r="CU58" s="14"/>
      <c r="CV58" s="14"/>
      <c r="CW58" s="14"/>
      <c r="CX58" s="14"/>
      <c r="CY58" s="14"/>
      <c r="CZ58" s="14"/>
      <c r="DA58" s="14"/>
      <c r="DB58" s="14"/>
      <c r="DC58" s="14"/>
    </row>
    <row r="59" spans="1:107" x14ac:dyDescent="0.3">
      <c r="B59" s="5" t="s">
        <v>547</v>
      </c>
      <c r="C59" t="s">
        <v>51</v>
      </c>
    </row>
    <row r="61" spans="1:107" x14ac:dyDescent="0.3">
      <c r="B61" s="5"/>
      <c r="C61" s="5" t="s">
        <v>599</v>
      </c>
    </row>
    <row r="62" spans="1:107" x14ac:dyDescent="0.3">
      <c r="C62" t="s">
        <v>4</v>
      </c>
    </row>
    <row r="63" spans="1:107" ht="15.6" x14ac:dyDescent="0.3">
      <c r="B63" t="s">
        <v>596</v>
      </c>
      <c r="C63" s="16">
        <v>283042.78999999998</v>
      </c>
    </row>
    <row r="65" spans="1:107" ht="18" x14ac:dyDescent="0.35">
      <c r="A65" s="14">
        <v>11</v>
      </c>
      <c r="B65" s="21" t="s">
        <v>583</v>
      </c>
      <c r="C65" s="21"/>
      <c r="D65" s="21"/>
      <c r="E65" s="21"/>
      <c r="F65" s="21"/>
      <c r="G65" s="21"/>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c r="BS65" s="14"/>
      <c r="BT65" s="14"/>
      <c r="BU65" s="14"/>
      <c r="BV65" s="14"/>
      <c r="BW65" s="14"/>
      <c r="BX65" s="14"/>
      <c r="BY65" s="14"/>
      <c r="BZ65" s="14"/>
      <c r="CA65" s="14"/>
      <c r="CB65" s="14"/>
      <c r="CC65" s="14"/>
      <c r="CD65" s="14"/>
      <c r="CE65" s="14"/>
      <c r="CF65" s="14"/>
      <c r="CG65" s="14"/>
      <c r="CH65" s="14"/>
      <c r="CI65" s="14"/>
      <c r="CJ65" s="14"/>
      <c r="CK65" s="14"/>
      <c r="CL65" s="14"/>
      <c r="CM65" s="14"/>
      <c r="CN65" s="14"/>
      <c r="CO65" s="14"/>
      <c r="CP65" s="14"/>
      <c r="CQ65" s="14"/>
      <c r="CR65" s="14"/>
      <c r="CS65" s="14"/>
      <c r="CT65" s="14"/>
      <c r="CU65" s="14"/>
      <c r="CV65" s="14"/>
      <c r="CW65" s="14"/>
      <c r="CX65" s="14"/>
      <c r="CY65" s="14"/>
      <c r="CZ65" s="14"/>
      <c r="DA65" s="14"/>
      <c r="DB65" s="14"/>
      <c r="DC65" s="14"/>
    </row>
    <row r="66" spans="1:107" x14ac:dyDescent="0.3">
      <c r="B66" s="5" t="s">
        <v>545</v>
      </c>
      <c r="C66" t="s">
        <v>20</v>
      </c>
    </row>
    <row r="68" spans="1:107" x14ac:dyDescent="0.3">
      <c r="B68" s="5" t="s">
        <v>597</v>
      </c>
      <c r="C68" s="5" t="s">
        <v>599</v>
      </c>
    </row>
    <row r="69" spans="1:107" x14ac:dyDescent="0.3">
      <c r="B69" s="5" t="s">
        <v>555</v>
      </c>
      <c r="C69" t="s">
        <v>2</v>
      </c>
    </row>
    <row r="70" spans="1:107" ht="15.6" x14ac:dyDescent="0.3">
      <c r="B70" s="6" t="s">
        <v>4</v>
      </c>
      <c r="C70" s="16">
        <v>1438.6515384615382</v>
      </c>
    </row>
    <row r="72" spans="1:107" ht="18" x14ac:dyDescent="0.35">
      <c r="A72" s="14">
        <v>12</v>
      </c>
      <c r="B72" s="21" t="s">
        <v>584</v>
      </c>
      <c r="C72" s="21"/>
      <c r="D72" s="21"/>
      <c r="E72" s="21"/>
      <c r="F72" s="21"/>
      <c r="G72" s="21"/>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c r="BK72" s="14"/>
      <c r="BL72" s="14"/>
      <c r="BM72" s="14"/>
      <c r="BN72" s="14"/>
      <c r="BO72" s="14"/>
      <c r="BP72" s="14"/>
      <c r="BQ72" s="14"/>
      <c r="BR72" s="14"/>
      <c r="BS72" s="14"/>
      <c r="BT72" s="14"/>
      <c r="BU72" s="14"/>
      <c r="BV72" s="14"/>
      <c r="BW72" s="14"/>
      <c r="BX72" s="14"/>
      <c r="BY72" s="14"/>
      <c r="BZ72" s="14"/>
      <c r="CA72" s="14"/>
      <c r="CB72" s="14"/>
      <c r="CC72" s="14"/>
      <c r="CD72" s="14"/>
      <c r="CE72" s="14"/>
      <c r="CF72" s="14"/>
      <c r="CG72" s="14"/>
      <c r="CH72" s="14"/>
      <c r="CI72" s="14"/>
      <c r="CJ72" s="14"/>
      <c r="CK72" s="14"/>
      <c r="CL72" s="14"/>
      <c r="CM72" s="14"/>
      <c r="CN72" s="14"/>
      <c r="CO72" s="14"/>
      <c r="CP72" s="14"/>
      <c r="CQ72" s="14"/>
      <c r="CR72" s="14"/>
      <c r="CS72" s="14"/>
      <c r="CT72" s="14"/>
      <c r="CU72" s="14"/>
      <c r="CV72" s="14"/>
      <c r="CW72" s="14"/>
      <c r="CX72" s="14"/>
      <c r="CY72" s="14"/>
      <c r="CZ72" s="14"/>
      <c r="DA72" s="14"/>
      <c r="DB72" s="14"/>
      <c r="DC72" s="14"/>
    </row>
    <row r="73" spans="1:107" x14ac:dyDescent="0.3">
      <c r="B73" s="5" t="s">
        <v>547</v>
      </c>
      <c r="C73" t="s">
        <v>37</v>
      </c>
    </row>
    <row r="75" spans="1:107" x14ac:dyDescent="0.3">
      <c r="B75" s="5"/>
      <c r="C75" s="5" t="s">
        <v>599</v>
      </c>
    </row>
    <row r="76" spans="1:107" x14ac:dyDescent="0.3">
      <c r="C76" t="s">
        <v>6</v>
      </c>
    </row>
    <row r="77" spans="1:107" ht="15.6" x14ac:dyDescent="0.3">
      <c r="B77" t="s">
        <v>598</v>
      </c>
      <c r="C77" s="15">
        <v>7.0588235294117645</v>
      </c>
    </row>
    <row r="79" spans="1:107" ht="18" x14ac:dyDescent="0.35">
      <c r="A79" s="14">
        <v>13</v>
      </c>
      <c r="B79" s="21" t="s">
        <v>585</v>
      </c>
      <c r="C79" s="21"/>
      <c r="D79" s="21"/>
      <c r="E79" s="21"/>
      <c r="F79" s="21"/>
      <c r="G79" s="21"/>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c r="BK79" s="14"/>
      <c r="BL79" s="14"/>
      <c r="BM79" s="14"/>
      <c r="BN79" s="14"/>
      <c r="BO79" s="14"/>
      <c r="BP79" s="14"/>
      <c r="BQ79" s="14"/>
      <c r="BR79" s="14"/>
      <c r="BS79" s="14"/>
      <c r="BT79" s="14"/>
      <c r="BU79" s="14"/>
      <c r="BV79" s="14"/>
      <c r="BW79" s="14"/>
      <c r="BX79" s="14"/>
      <c r="BY79" s="14"/>
      <c r="BZ79" s="14"/>
      <c r="CA79" s="14"/>
      <c r="CB79" s="14"/>
      <c r="CC79" s="14"/>
      <c r="CD79" s="14"/>
      <c r="CE79" s="14"/>
      <c r="CF79" s="14"/>
      <c r="CG79" s="14"/>
      <c r="CH79" s="14"/>
      <c r="CI79" s="14"/>
      <c r="CJ79" s="14"/>
      <c r="CK79" s="14"/>
      <c r="CL79" s="14"/>
      <c r="CM79" s="14"/>
      <c r="CN79" s="14"/>
      <c r="CO79" s="14"/>
      <c r="CP79" s="14"/>
      <c r="CQ79" s="14"/>
      <c r="CR79" s="14"/>
      <c r="CS79" s="14"/>
      <c r="CT79" s="14"/>
      <c r="CU79" s="14"/>
      <c r="CV79" s="14"/>
      <c r="CW79" s="14"/>
      <c r="CX79" s="14"/>
      <c r="CY79" s="14"/>
      <c r="CZ79" s="14"/>
      <c r="DA79" s="14"/>
      <c r="DB79" s="14"/>
      <c r="DC79" s="14"/>
    </row>
    <row r="80" spans="1:107" x14ac:dyDescent="0.3">
      <c r="B80" s="5" t="s">
        <v>551</v>
      </c>
      <c r="C80" t="s">
        <v>601</v>
      </c>
    </row>
    <row r="82" spans="1:107" x14ac:dyDescent="0.3">
      <c r="B82" s="5" t="s">
        <v>602</v>
      </c>
    </row>
    <row r="83" spans="1:107" ht="15.6" x14ac:dyDescent="0.3">
      <c r="B83" s="15">
        <v>168</v>
      </c>
    </row>
    <row r="85" spans="1:107" ht="18" x14ac:dyDescent="0.35">
      <c r="A85" s="14">
        <v>14</v>
      </c>
      <c r="B85" s="21" t="s">
        <v>586</v>
      </c>
      <c r="C85" s="21"/>
      <c r="D85" s="21"/>
      <c r="E85" s="21"/>
      <c r="F85" s="21"/>
      <c r="G85" s="21"/>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c r="BK85" s="14"/>
      <c r="BL85" s="14"/>
      <c r="BM85" s="14"/>
      <c r="BN85" s="14"/>
      <c r="BO85" s="14"/>
      <c r="BP85" s="14"/>
      <c r="BQ85" s="14"/>
      <c r="BR85" s="14"/>
      <c r="BS85" s="14"/>
      <c r="BT85" s="14"/>
      <c r="BU85" s="14"/>
      <c r="BV85" s="14"/>
      <c r="BW85" s="14"/>
      <c r="BX85" s="14"/>
      <c r="BY85" s="14"/>
      <c r="BZ85" s="14"/>
      <c r="CA85" s="14"/>
      <c r="CB85" s="14"/>
      <c r="CC85" s="14"/>
      <c r="CD85" s="14"/>
      <c r="CE85" s="14"/>
      <c r="CF85" s="14"/>
      <c r="CG85" s="14"/>
      <c r="CH85" s="14"/>
      <c r="CI85" s="14"/>
      <c r="CJ85" s="14"/>
      <c r="CK85" s="14"/>
      <c r="CL85" s="14"/>
      <c r="CM85" s="14"/>
      <c r="CN85" s="14"/>
      <c r="CO85" s="14"/>
      <c r="CP85" s="14"/>
      <c r="CQ85" s="14"/>
      <c r="CR85" s="14"/>
      <c r="CS85" s="14"/>
      <c r="CT85" s="14"/>
      <c r="CU85" s="14"/>
      <c r="CV85" s="14"/>
      <c r="CW85" s="14"/>
      <c r="CX85" s="14"/>
      <c r="CY85" s="14"/>
      <c r="CZ85" s="14"/>
      <c r="DA85" s="14"/>
      <c r="DB85" s="14"/>
      <c r="DC85" s="14"/>
    </row>
    <row r="88" spans="1:107" x14ac:dyDescent="0.3">
      <c r="B88" s="5"/>
      <c r="C88" s="5" t="s">
        <v>599</v>
      </c>
    </row>
    <row r="89" spans="1:107" ht="15.6" x14ac:dyDescent="0.3">
      <c r="C89" s="3">
        <v>5001.5200000000004</v>
      </c>
      <c r="D89" s="3">
        <v>5243</v>
      </c>
      <c r="E89" s="3">
        <v>5266.7</v>
      </c>
      <c r="F89" s="3">
        <v>5334.09</v>
      </c>
      <c r="G89" s="3">
        <v>5353.54</v>
      </c>
      <c r="H89" s="3">
        <v>5386.91</v>
      </c>
      <c r="I89" s="3">
        <v>5398.45</v>
      </c>
      <c r="J89" s="3">
        <v>5457.3</v>
      </c>
      <c r="K89" s="3">
        <v>5904.64</v>
      </c>
      <c r="L89" s="3">
        <v>5953.25</v>
      </c>
      <c r="M89" s="3">
        <v>6001.62</v>
      </c>
      <c r="N89" s="3">
        <v>6030.27</v>
      </c>
      <c r="O89" s="3">
        <v>6085.52</v>
      </c>
      <c r="P89" s="3">
        <v>6142.4</v>
      </c>
      <c r="Q89" s="3">
        <v>6146.8</v>
      </c>
      <c r="R89" s="3">
        <v>6382.06</v>
      </c>
      <c r="S89" s="3">
        <v>6409.82</v>
      </c>
      <c r="T89" s="3">
        <v>6437.11</v>
      </c>
      <c r="U89" s="3">
        <v>6486.73</v>
      </c>
      <c r="V89" s="3">
        <v>6618.47</v>
      </c>
      <c r="W89" s="3">
        <v>6659.02</v>
      </c>
      <c r="X89" s="3">
        <v>6737.47</v>
      </c>
      <c r="Y89" s="3">
        <v>6929.59</v>
      </c>
      <c r="Z89" s="3">
        <v>7005.76</v>
      </c>
      <c r="AA89" s="3">
        <v>7100.81</v>
      </c>
      <c r="AB89" s="3">
        <v>7212.67</v>
      </c>
      <c r="AC89" s="3">
        <v>7251.15</v>
      </c>
      <c r="AD89" s="3">
        <v>7340.69</v>
      </c>
      <c r="AE89" s="3">
        <v>7405.32</v>
      </c>
      <c r="AF89" s="3">
        <v>7661.81</v>
      </c>
      <c r="AG89" s="3">
        <v>7719.77</v>
      </c>
      <c r="AH89" s="3">
        <v>7741.85</v>
      </c>
      <c r="AI89" s="3">
        <v>8237.02</v>
      </c>
      <c r="AJ89" s="3">
        <v>8438.75</v>
      </c>
      <c r="AK89" s="3">
        <v>8465.34</v>
      </c>
      <c r="AL89" s="3">
        <v>8483.2800000000007</v>
      </c>
      <c r="AM89" s="3">
        <v>8483.7999999999993</v>
      </c>
      <c r="AN89" s="3">
        <v>8536.9</v>
      </c>
      <c r="AO89" s="3">
        <v>8608.36</v>
      </c>
      <c r="AP89" s="3">
        <v>8714.9500000000007</v>
      </c>
      <c r="AQ89" s="3">
        <v>8755.61</v>
      </c>
      <c r="AR89" s="3">
        <v>8898.5</v>
      </c>
      <c r="AS89" s="3">
        <v>8945.67</v>
      </c>
      <c r="AT89" s="3">
        <v>9311.44</v>
      </c>
      <c r="AU89" s="3">
        <v>9341.9699999999993</v>
      </c>
      <c r="AV89" s="3">
        <v>9456.14</v>
      </c>
      <c r="AW89" s="3">
        <v>9636.9500000000007</v>
      </c>
      <c r="AX89" s="3">
        <v>9662.7000000000007</v>
      </c>
      <c r="AY89" s="3">
        <v>9702.98</v>
      </c>
      <c r="AZ89" s="3">
        <v>9785.9</v>
      </c>
      <c r="BA89" s="3">
        <v>10117.969999999999</v>
      </c>
      <c r="BB89" s="3">
        <v>10368.9</v>
      </c>
      <c r="BC89" s="3">
        <v>10523.48</v>
      </c>
      <c r="BD89" s="3">
        <v>10939.28</v>
      </c>
      <c r="BE89" s="3">
        <v>11030.96</v>
      </c>
      <c r="BF89" s="3">
        <v>11407.9</v>
      </c>
      <c r="BG89" s="3">
        <v>11411.96</v>
      </c>
      <c r="BH89" s="3">
        <v>11553.62</v>
      </c>
      <c r="BI89" s="3">
        <v>11711.86</v>
      </c>
      <c r="BJ89" s="3">
        <v>11748.51</v>
      </c>
      <c r="BK89" s="3">
        <v>11758.35</v>
      </c>
      <c r="BL89" s="3">
        <v>12339.23</v>
      </c>
      <c r="BM89" s="3">
        <v>12500.93</v>
      </c>
      <c r="BN89" s="3">
        <v>12517.55</v>
      </c>
      <c r="BO89" s="3">
        <v>12834.7</v>
      </c>
      <c r="BP89" s="3">
        <v>13271.58</v>
      </c>
      <c r="BQ89" s="3">
        <v>13508.67</v>
      </c>
      <c r="BR89" s="3">
        <v>13526.18</v>
      </c>
      <c r="BS89" s="3">
        <v>13705.18</v>
      </c>
      <c r="BT89" s="3">
        <v>13958.31</v>
      </c>
      <c r="BU89" s="3">
        <v>14080.07</v>
      </c>
      <c r="BV89" s="3">
        <v>14261.15</v>
      </c>
      <c r="BW89" s="3">
        <v>14565.11</v>
      </c>
      <c r="BX89" s="3">
        <v>15241.46</v>
      </c>
      <c r="BY89" s="3">
        <v>15566.52</v>
      </c>
      <c r="BZ89" s="3">
        <v>15863.77</v>
      </c>
      <c r="CA89" s="3">
        <v>16589.48</v>
      </c>
      <c r="CB89" s="3">
        <v>16695.419999999998</v>
      </c>
      <c r="CC89" s="3">
        <v>17536.62</v>
      </c>
      <c r="CD89" s="3">
        <v>17621.759999999998</v>
      </c>
      <c r="CE89" s="3">
        <v>18779.34</v>
      </c>
      <c r="CF89" s="3">
        <v>21445.83</v>
      </c>
      <c r="CG89" s="3">
        <v>22421.47</v>
      </c>
      <c r="CH89" s="3">
        <v>22460.1</v>
      </c>
      <c r="CI89" s="3">
        <v>23467.94</v>
      </c>
      <c r="CJ89" s="3">
        <v>23820.19</v>
      </c>
      <c r="CK89" s="3">
        <v>24033.68</v>
      </c>
      <c r="CL89" s="3">
        <v>24235.360000000001</v>
      </c>
      <c r="CM89" s="3">
        <v>24368.880000000001</v>
      </c>
      <c r="CN89" s="3">
        <v>24520.14</v>
      </c>
      <c r="CO89" s="3">
        <v>25917.45</v>
      </c>
      <c r="CP89" s="3">
        <v>26162.19</v>
      </c>
      <c r="CQ89" s="3">
        <v>26543.05</v>
      </c>
      <c r="CR89" s="3">
        <v>26812.17</v>
      </c>
      <c r="CS89" s="3">
        <v>26965.040000000001</v>
      </c>
      <c r="CT89" s="3">
        <v>29567.39</v>
      </c>
      <c r="CU89" s="3">
        <v>38629.24</v>
      </c>
      <c r="CV89" s="3">
        <v>43167.33</v>
      </c>
      <c r="CW89" s="3">
        <v>46503.6</v>
      </c>
      <c r="CX89" s="3">
        <v>61322.28</v>
      </c>
      <c r="CY89" s="3">
        <v>69808.37</v>
      </c>
      <c r="CZ89" s="3">
        <v>74173.240000000005</v>
      </c>
      <c r="DA89" s="16" t="s">
        <v>556</v>
      </c>
    </row>
    <row r="90" spans="1:107" ht="15.6" x14ac:dyDescent="0.3">
      <c r="B90" t="s">
        <v>596</v>
      </c>
      <c r="C90" s="3">
        <v>5001.5200000000004</v>
      </c>
      <c r="D90" s="3">
        <v>5243</v>
      </c>
      <c r="E90" s="3">
        <v>5266.7</v>
      </c>
      <c r="F90" s="3">
        <v>5334.09</v>
      </c>
      <c r="G90" s="3">
        <v>5353.54</v>
      </c>
      <c r="H90" s="3">
        <v>5386.91</v>
      </c>
      <c r="I90" s="3">
        <v>5398.45</v>
      </c>
      <c r="J90" s="3">
        <v>5457.3</v>
      </c>
      <c r="K90" s="3">
        <v>5904.64</v>
      </c>
      <c r="L90" s="3">
        <v>5953.25</v>
      </c>
      <c r="M90" s="3">
        <v>6001.62</v>
      </c>
      <c r="N90" s="3">
        <v>6030.27</v>
      </c>
      <c r="O90" s="3">
        <v>6085.52</v>
      </c>
      <c r="P90" s="3">
        <v>6142.4</v>
      </c>
      <c r="Q90" s="3">
        <v>6146.8</v>
      </c>
      <c r="R90" s="3">
        <v>6382.06</v>
      </c>
      <c r="S90" s="3">
        <v>6409.82</v>
      </c>
      <c r="T90" s="3">
        <v>6437.11</v>
      </c>
      <c r="U90" s="3">
        <v>6486.73</v>
      </c>
      <c r="V90" s="3">
        <v>6618.47</v>
      </c>
      <c r="W90" s="3">
        <v>6659.02</v>
      </c>
      <c r="X90" s="3">
        <v>6737.47</v>
      </c>
      <c r="Y90" s="3">
        <v>6929.59</v>
      </c>
      <c r="Z90" s="3">
        <v>7005.76</v>
      </c>
      <c r="AA90" s="3">
        <v>7100.81</v>
      </c>
      <c r="AB90" s="3">
        <v>7212.67</v>
      </c>
      <c r="AC90" s="3">
        <v>7251.15</v>
      </c>
      <c r="AD90" s="3">
        <v>7340.69</v>
      </c>
      <c r="AE90" s="3">
        <v>7405.32</v>
      </c>
      <c r="AF90" s="3">
        <v>7661.81</v>
      </c>
      <c r="AG90" s="3">
        <v>7719.77</v>
      </c>
      <c r="AH90" s="3">
        <v>7741.85</v>
      </c>
      <c r="AI90" s="3">
        <v>8237.02</v>
      </c>
      <c r="AJ90" s="3">
        <v>8438.75</v>
      </c>
      <c r="AK90" s="3">
        <v>8465.34</v>
      </c>
      <c r="AL90" s="3">
        <v>8483.2800000000007</v>
      </c>
      <c r="AM90" s="3">
        <v>8483.7999999999993</v>
      </c>
      <c r="AN90" s="3">
        <v>8536.9</v>
      </c>
      <c r="AO90" s="3">
        <v>8608.36</v>
      </c>
      <c r="AP90" s="3">
        <v>8714.9500000000007</v>
      </c>
      <c r="AQ90" s="3">
        <v>8755.61</v>
      </c>
      <c r="AR90" s="3">
        <v>8898.5</v>
      </c>
      <c r="AS90" s="3">
        <v>8945.67</v>
      </c>
      <c r="AT90" s="3">
        <v>9311.44</v>
      </c>
      <c r="AU90" s="3">
        <v>9341.9699999999993</v>
      </c>
      <c r="AV90" s="3">
        <v>9456.14</v>
      </c>
      <c r="AW90" s="3">
        <v>9636.9500000000007</v>
      </c>
      <c r="AX90" s="3">
        <v>9662.7000000000007</v>
      </c>
      <c r="AY90" s="3">
        <v>9702.98</v>
      </c>
      <c r="AZ90" s="3">
        <v>9785.9</v>
      </c>
      <c r="BA90" s="3">
        <v>10117.969999999999</v>
      </c>
      <c r="BB90" s="3">
        <v>10368.9</v>
      </c>
      <c r="BC90" s="3">
        <v>10523.48</v>
      </c>
      <c r="BD90" s="3">
        <v>10939.28</v>
      </c>
      <c r="BE90" s="3">
        <v>11030.96</v>
      </c>
      <c r="BF90" s="3">
        <v>11407.9</v>
      </c>
      <c r="BG90" s="3">
        <v>11411.96</v>
      </c>
      <c r="BH90" s="3">
        <v>11553.62</v>
      </c>
      <c r="BI90" s="3">
        <v>11711.86</v>
      </c>
      <c r="BJ90" s="3">
        <v>11748.51</v>
      </c>
      <c r="BK90" s="3">
        <v>11758.35</v>
      </c>
      <c r="BL90" s="3">
        <v>12339.23</v>
      </c>
      <c r="BM90" s="3">
        <v>12500.93</v>
      </c>
      <c r="BN90" s="3">
        <v>12517.55</v>
      </c>
      <c r="BO90" s="3">
        <v>12834.7</v>
      </c>
      <c r="BP90" s="3">
        <v>13271.58</v>
      </c>
      <c r="BQ90" s="3">
        <v>13508.67</v>
      </c>
      <c r="BR90" s="3">
        <v>13526.18</v>
      </c>
      <c r="BS90" s="3">
        <v>13705.18</v>
      </c>
      <c r="BT90" s="3">
        <v>13958.31</v>
      </c>
      <c r="BU90" s="3">
        <v>14080.07</v>
      </c>
      <c r="BV90" s="3">
        <v>14261.15</v>
      </c>
      <c r="BW90" s="3">
        <v>14565.11</v>
      </c>
      <c r="BX90" s="3">
        <v>15241.46</v>
      </c>
      <c r="BY90" s="3">
        <v>15566.52</v>
      </c>
      <c r="BZ90" s="3">
        <v>15863.77</v>
      </c>
      <c r="CA90" s="3">
        <v>16589.48</v>
      </c>
      <c r="CB90" s="3">
        <v>16695.419999999998</v>
      </c>
      <c r="CC90" s="3">
        <v>17536.62</v>
      </c>
      <c r="CD90" s="3">
        <v>17621.759999999998</v>
      </c>
      <c r="CE90" s="3">
        <v>18779.34</v>
      </c>
      <c r="CF90" s="3">
        <v>21445.83</v>
      </c>
      <c r="CG90" s="3">
        <v>22421.47</v>
      </c>
      <c r="CH90" s="3">
        <v>22460.1</v>
      </c>
      <c r="CI90" s="3">
        <v>23467.94</v>
      </c>
      <c r="CJ90" s="3">
        <v>23820.19</v>
      </c>
      <c r="CK90" s="3">
        <v>24033.68</v>
      </c>
      <c r="CL90" s="3">
        <v>24235.360000000001</v>
      </c>
      <c r="CM90" s="3">
        <v>24368.880000000001</v>
      </c>
      <c r="CN90" s="3">
        <v>24520.14</v>
      </c>
      <c r="CO90" s="3">
        <v>25917.45</v>
      </c>
      <c r="CP90" s="3">
        <v>26162.19</v>
      </c>
      <c r="CQ90" s="3">
        <v>26543.05</v>
      </c>
      <c r="CR90" s="3">
        <v>26812.17</v>
      </c>
      <c r="CS90" s="3">
        <v>26965.040000000001</v>
      </c>
      <c r="CT90" s="3">
        <v>29567.39</v>
      </c>
      <c r="CU90" s="3">
        <v>38629.24</v>
      </c>
      <c r="CV90" s="3">
        <v>43167.33</v>
      </c>
      <c r="CW90" s="3">
        <v>46503.6</v>
      </c>
      <c r="CX90" s="3">
        <v>61322.28</v>
      </c>
      <c r="CY90" s="3">
        <v>69808.37</v>
      </c>
      <c r="CZ90" s="3">
        <v>74173.240000000005</v>
      </c>
      <c r="DA90" s="16">
        <v>1489153.1299999997</v>
      </c>
    </row>
    <row r="93" spans="1:107" ht="18" x14ac:dyDescent="0.35">
      <c r="A93" s="14">
        <v>15</v>
      </c>
      <c r="B93" s="21" t="s">
        <v>587</v>
      </c>
      <c r="C93" s="21"/>
      <c r="D93" s="21"/>
      <c r="E93" s="21"/>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4"/>
      <c r="BJ93" s="14"/>
      <c r="BK93" s="14"/>
      <c r="BL93" s="14"/>
      <c r="BM93" s="14"/>
      <c r="BN93" s="14"/>
      <c r="BO93" s="14"/>
      <c r="BP93" s="14"/>
      <c r="BQ93" s="14"/>
      <c r="BR93" s="14"/>
      <c r="BS93" s="14"/>
      <c r="BT93" s="14"/>
      <c r="BU93" s="14"/>
      <c r="BV93" s="14"/>
      <c r="BW93" s="14"/>
      <c r="BX93" s="14"/>
      <c r="BY93" s="14"/>
      <c r="BZ93" s="14"/>
      <c r="CA93" s="14"/>
      <c r="CB93" s="14"/>
      <c r="CC93" s="14"/>
      <c r="CD93" s="14"/>
      <c r="CE93" s="14"/>
      <c r="CF93" s="14"/>
      <c r="CG93" s="14"/>
      <c r="CH93" s="14"/>
      <c r="CI93" s="14"/>
      <c r="CJ93" s="14"/>
      <c r="CK93" s="14"/>
      <c r="CL93" s="14"/>
      <c r="CM93" s="14"/>
      <c r="CN93" s="14"/>
      <c r="CO93" s="14"/>
      <c r="CP93" s="14"/>
      <c r="CQ93" s="14"/>
      <c r="CR93" s="14"/>
      <c r="CS93" s="14"/>
      <c r="CT93" s="14"/>
      <c r="CU93" s="14"/>
      <c r="CV93" s="14"/>
      <c r="CW93" s="14"/>
      <c r="CX93" s="14"/>
      <c r="CY93" s="14"/>
      <c r="CZ93" s="14"/>
      <c r="DA93" s="14"/>
      <c r="DB93" s="14"/>
      <c r="DC93" s="14"/>
    </row>
    <row r="96" spans="1:107" x14ac:dyDescent="0.3">
      <c r="B96" s="5"/>
      <c r="C96" s="5" t="s">
        <v>599</v>
      </c>
    </row>
    <row r="97" spans="1:107" ht="15.6" x14ac:dyDescent="0.3">
      <c r="C97" s="2">
        <v>45870</v>
      </c>
      <c r="D97" s="2">
        <v>45872</v>
      </c>
      <c r="E97" s="2">
        <v>45873</v>
      </c>
      <c r="F97" s="2">
        <v>45874</v>
      </c>
      <c r="G97" s="2">
        <v>45875</v>
      </c>
      <c r="H97" s="2">
        <v>45876</v>
      </c>
      <c r="I97" s="2">
        <v>45878</v>
      </c>
      <c r="J97" s="2">
        <v>45882</v>
      </c>
      <c r="K97" s="2">
        <v>45883</v>
      </c>
      <c r="L97" s="2">
        <v>45884</v>
      </c>
      <c r="M97" s="2">
        <v>45885</v>
      </c>
      <c r="N97" s="2">
        <v>45886</v>
      </c>
      <c r="O97" s="2">
        <v>45887</v>
      </c>
      <c r="P97" s="2">
        <v>45888</v>
      </c>
      <c r="Q97" s="2">
        <v>45890</v>
      </c>
      <c r="R97" s="2">
        <v>45891</v>
      </c>
      <c r="S97" s="2">
        <v>45894</v>
      </c>
      <c r="T97" s="2">
        <v>45895</v>
      </c>
      <c r="U97" s="2">
        <v>45896</v>
      </c>
      <c r="V97" s="2">
        <v>45897</v>
      </c>
      <c r="W97" s="2">
        <v>45898</v>
      </c>
      <c r="X97" s="2">
        <v>45899</v>
      </c>
      <c r="Y97" s="2">
        <v>45900</v>
      </c>
      <c r="Z97" s="17" t="s">
        <v>556</v>
      </c>
    </row>
    <row r="98" spans="1:107" ht="15.6" x14ac:dyDescent="0.3">
      <c r="B98" t="s">
        <v>603</v>
      </c>
      <c r="C98">
        <v>2</v>
      </c>
      <c r="D98">
        <v>1</v>
      </c>
      <c r="E98">
        <v>2</v>
      </c>
      <c r="F98">
        <v>7</v>
      </c>
      <c r="G98">
        <v>1</v>
      </c>
      <c r="H98">
        <v>3</v>
      </c>
      <c r="I98">
        <v>1</v>
      </c>
      <c r="J98">
        <v>1</v>
      </c>
      <c r="K98">
        <v>2</v>
      </c>
      <c r="L98">
        <v>2</v>
      </c>
      <c r="M98">
        <v>1</v>
      </c>
      <c r="N98">
        <v>2</v>
      </c>
      <c r="O98">
        <v>2</v>
      </c>
      <c r="P98">
        <v>2</v>
      </c>
      <c r="Q98">
        <v>2</v>
      </c>
      <c r="R98">
        <v>2</v>
      </c>
      <c r="S98">
        <v>2</v>
      </c>
      <c r="T98">
        <v>1</v>
      </c>
      <c r="U98">
        <v>2</v>
      </c>
      <c r="V98">
        <v>2</v>
      </c>
      <c r="W98">
        <v>1</v>
      </c>
      <c r="X98">
        <v>2</v>
      </c>
      <c r="Y98">
        <v>2</v>
      </c>
      <c r="Z98" s="15">
        <v>45</v>
      </c>
    </row>
    <row r="100" spans="1:107" ht="18" x14ac:dyDescent="0.35">
      <c r="A100" s="14">
        <v>16</v>
      </c>
      <c r="B100" s="21" t="s">
        <v>588</v>
      </c>
      <c r="C100" s="21"/>
      <c r="D100" s="21"/>
      <c r="E100" s="21"/>
      <c r="F100" s="21"/>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c r="BK100" s="14"/>
      <c r="BL100" s="14"/>
      <c r="BM100" s="14"/>
      <c r="BN100" s="14"/>
      <c r="BO100" s="14"/>
      <c r="BP100" s="14"/>
      <c r="BQ100" s="14"/>
      <c r="BR100" s="14"/>
      <c r="BS100" s="14"/>
      <c r="BT100" s="14"/>
      <c r="BU100" s="14"/>
      <c r="BV100" s="14"/>
      <c r="BW100" s="14"/>
      <c r="BX100" s="14"/>
      <c r="BY100" s="14"/>
      <c r="BZ100" s="14"/>
      <c r="CA100" s="14"/>
      <c r="CB100" s="14"/>
      <c r="CC100" s="14"/>
      <c r="CD100" s="14"/>
      <c r="CE100" s="14"/>
      <c r="CF100" s="14"/>
      <c r="CG100" s="14"/>
      <c r="CH100" s="14"/>
      <c r="CI100" s="14"/>
      <c r="CJ100" s="14"/>
      <c r="CK100" s="14"/>
      <c r="CL100" s="14"/>
      <c r="CM100" s="14"/>
      <c r="CN100" s="14"/>
      <c r="CO100" s="14"/>
      <c r="CP100" s="14"/>
      <c r="CQ100" s="14"/>
      <c r="CR100" s="14"/>
      <c r="CS100" s="14"/>
      <c r="CT100" s="14"/>
      <c r="CU100" s="14"/>
      <c r="CV100" s="14"/>
      <c r="CW100" s="14"/>
      <c r="CX100" s="14"/>
      <c r="CY100" s="14"/>
      <c r="CZ100" s="14"/>
      <c r="DA100" s="14"/>
      <c r="DB100" s="14"/>
      <c r="DC100" s="14"/>
    </row>
    <row r="102" spans="1:107" ht="18" x14ac:dyDescent="0.35">
      <c r="B102" s="13"/>
    </row>
    <row r="103" spans="1:107" x14ac:dyDescent="0.3">
      <c r="B103" s="5"/>
      <c r="C103" s="5" t="s">
        <v>599</v>
      </c>
    </row>
    <row r="104" spans="1:107" ht="15.6" x14ac:dyDescent="0.3">
      <c r="C104" s="2">
        <v>45931</v>
      </c>
      <c r="D104" s="2">
        <v>45932</v>
      </c>
      <c r="E104" s="2">
        <v>45933</v>
      </c>
      <c r="F104" s="2">
        <v>45934</v>
      </c>
      <c r="G104" s="2">
        <v>45935</v>
      </c>
      <c r="H104" s="2">
        <v>45936</v>
      </c>
      <c r="I104" s="2">
        <v>45937</v>
      </c>
      <c r="J104" s="2">
        <v>45938</v>
      </c>
      <c r="K104" s="2">
        <v>45939</v>
      </c>
      <c r="L104" s="2">
        <v>45940</v>
      </c>
      <c r="M104" s="2">
        <v>45941</v>
      </c>
      <c r="N104" s="2">
        <v>45942</v>
      </c>
      <c r="O104" s="2">
        <v>45943</v>
      </c>
      <c r="P104" s="2">
        <v>45944</v>
      </c>
      <c r="Q104" s="2">
        <v>45945</v>
      </c>
      <c r="R104" s="2">
        <v>45946</v>
      </c>
      <c r="S104" s="2">
        <v>45948</v>
      </c>
      <c r="T104" s="2">
        <v>45949</v>
      </c>
      <c r="U104" s="2">
        <v>45951</v>
      </c>
      <c r="V104" s="2">
        <v>45952</v>
      </c>
      <c r="W104" s="2">
        <v>45953</v>
      </c>
      <c r="X104" s="2">
        <v>45955</v>
      </c>
      <c r="Y104" s="2">
        <v>45956</v>
      </c>
      <c r="Z104" s="2">
        <v>45957</v>
      </c>
      <c r="AA104" s="2">
        <v>45958</v>
      </c>
      <c r="AB104" s="2">
        <v>45959</v>
      </c>
      <c r="AC104" s="2">
        <v>45963</v>
      </c>
      <c r="AD104" s="2">
        <v>45964</v>
      </c>
      <c r="AE104" s="2">
        <v>45966</v>
      </c>
      <c r="AF104" s="2">
        <v>45967</v>
      </c>
      <c r="AG104" s="2">
        <v>45968</v>
      </c>
      <c r="AH104" s="2">
        <v>45969</v>
      </c>
      <c r="AI104" s="2">
        <v>45970</v>
      </c>
      <c r="AJ104" s="2">
        <v>45971</v>
      </c>
      <c r="AK104" s="2">
        <v>45972</v>
      </c>
      <c r="AL104" s="2">
        <v>45974</v>
      </c>
      <c r="AM104" s="2">
        <v>45978</v>
      </c>
      <c r="AN104" s="2">
        <v>45979</v>
      </c>
      <c r="AO104" s="2">
        <v>45980</v>
      </c>
      <c r="AP104" s="2">
        <v>45982</v>
      </c>
      <c r="AQ104" s="2">
        <v>45983</v>
      </c>
      <c r="AR104" s="2">
        <v>45984</v>
      </c>
      <c r="AS104" s="2">
        <v>45985</v>
      </c>
      <c r="AT104" s="2">
        <v>45986</v>
      </c>
      <c r="AU104" s="2">
        <v>45987</v>
      </c>
      <c r="AV104" s="2">
        <v>45988</v>
      </c>
      <c r="AW104" s="2">
        <v>45990</v>
      </c>
      <c r="AX104" s="2">
        <v>45991</v>
      </c>
      <c r="AY104" s="2">
        <v>45993</v>
      </c>
      <c r="AZ104" s="2">
        <v>45994</v>
      </c>
      <c r="BA104" s="2">
        <v>45995</v>
      </c>
      <c r="BB104" s="2">
        <v>45996</v>
      </c>
      <c r="BC104" s="2">
        <v>45997</v>
      </c>
      <c r="BD104" s="2">
        <v>45999</v>
      </c>
      <c r="BE104" s="2">
        <v>46000</v>
      </c>
      <c r="BF104" s="2">
        <v>46001</v>
      </c>
      <c r="BG104" s="2">
        <v>46002</v>
      </c>
      <c r="BH104" s="2">
        <v>46003</v>
      </c>
      <c r="BI104" s="2">
        <v>46004</v>
      </c>
      <c r="BJ104" s="2">
        <v>46005</v>
      </c>
      <c r="BK104" s="2">
        <v>46006</v>
      </c>
      <c r="BL104" s="17" t="s">
        <v>556</v>
      </c>
    </row>
    <row r="105" spans="1:107" ht="15.6" x14ac:dyDescent="0.3">
      <c r="B105" t="s">
        <v>596</v>
      </c>
      <c r="C105" s="3">
        <v>18292.75</v>
      </c>
      <c r="D105" s="3">
        <v>2941.85</v>
      </c>
      <c r="E105" s="3">
        <v>74995.48000000001</v>
      </c>
      <c r="F105" s="3">
        <v>1625.23</v>
      </c>
      <c r="G105" s="3">
        <v>4542.7</v>
      </c>
      <c r="H105" s="3">
        <v>1062.01</v>
      </c>
      <c r="I105" s="3">
        <v>2449.06</v>
      </c>
      <c r="J105" s="3">
        <v>1638.83</v>
      </c>
      <c r="K105" s="3">
        <v>11304.619999999999</v>
      </c>
      <c r="L105" s="3">
        <v>5233.46</v>
      </c>
      <c r="M105" s="3">
        <v>1704.78</v>
      </c>
      <c r="N105" s="3">
        <v>4130.68</v>
      </c>
      <c r="O105" s="3">
        <v>3656.32</v>
      </c>
      <c r="P105" s="3">
        <v>919.75</v>
      </c>
      <c r="Q105" s="3">
        <v>9717.0499999999993</v>
      </c>
      <c r="R105" s="3">
        <v>1105.25</v>
      </c>
      <c r="S105" s="3">
        <v>3661.0899999999997</v>
      </c>
      <c r="T105" s="3">
        <v>5029.7800000000007</v>
      </c>
      <c r="U105" s="3">
        <v>24368.880000000001</v>
      </c>
      <c r="V105" s="3">
        <v>14565.11</v>
      </c>
      <c r="W105" s="3">
        <v>619.86</v>
      </c>
      <c r="X105" s="3">
        <v>5263.58</v>
      </c>
      <c r="Y105" s="3">
        <v>1660.92</v>
      </c>
      <c r="Z105" s="3">
        <v>2788.79</v>
      </c>
      <c r="AA105" s="3">
        <v>3584.11</v>
      </c>
      <c r="AB105" s="3">
        <v>3317.76</v>
      </c>
      <c r="AC105" s="3">
        <v>38884.04</v>
      </c>
      <c r="AD105" s="3">
        <v>4193.8900000000003</v>
      </c>
      <c r="AE105" s="3">
        <v>2155.81</v>
      </c>
      <c r="AF105" s="3">
        <v>0</v>
      </c>
      <c r="AG105" s="3">
        <v>8898.5</v>
      </c>
      <c r="AH105" s="3">
        <v>2777.67</v>
      </c>
      <c r="AI105" s="3">
        <v>3790.31</v>
      </c>
      <c r="AJ105" s="3">
        <v>3042.53</v>
      </c>
      <c r="AK105" s="3">
        <v>5904.64</v>
      </c>
      <c r="AL105" s="3">
        <v>9442.6299999999992</v>
      </c>
      <c r="AM105" s="3">
        <v>1511.03</v>
      </c>
      <c r="AN105" s="3">
        <v>2249.6400000000003</v>
      </c>
      <c r="AO105" s="3">
        <v>9838.51</v>
      </c>
      <c r="AP105" s="3">
        <v>16038.43</v>
      </c>
      <c r="AQ105" s="3">
        <v>36223.729999999996</v>
      </c>
      <c r="AR105" s="3">
        <v>3509.82</v>
      </c>
      <c r="AS105" s="3">
        <v>9690.66</v>
      </c>
      <c r="AT105" s="3">
        <v>6547.0599999999995</v>
      </c>
      <c r="AU105" s="3">
        <v>1623.75</v>
      </c>
      <c r="AV105" s="3">
        <v>8588.26</v>
      </c>
      <c r="AW105" s="3">
        <v>4317.8999999999996</v>
      </c>
      <c r="AX105" s="3">
        <v>76426.84</v>
      </c>
      <c r="AY105" s="3">
        <v>0</v>
      </c>
      <c r="AZ105" s="3">
        <v>0</v>
      </c>
      <c r="BA105" s="3">
        <v>5137.83</v>
      </c>
      <c r="BB105" s="3">
        <v>3840.39</v>
      </c>
      <c r="BC105" s="3">
        <v>3240.48</v>
      </c>
      <c r="BD105" s="3">
        <v>8714.9500000000007</v>
      </c>
      <c r="BE105" s="3">
        <v>788.73</v>
      </c>
      <c r="BF105" s="3">
        <v>7813.9100000000008</v>
      </c>
      <c r="BG105" s="3">
        <v>1956.33</v>
      </c>
      <c r="BH105" s="3">
        <v>1704.36</v>
      </c>
      <c r="BI105" s="3">
        <v>32680.07</v>
      </c>
      <c r="BJ105" s="3">
        <v>920.21</v>
      </c>
      <c r="BK105" s="3">
        <v>645.48</v>
      </c>
      <c r="BL105" s="16">
        <v>533278.09</v>
      </c>
    </row>
    <row r="107" spans="1:107" ht="18" x14ac:dyDescent="0.35">
      <c r="A107" s="14">
        <v>17</v>
      </c>
      <c r="B107" s="21" t="s">
        <v>589</v>
      </c>
      <c r="C107" s="21"/>
      <c r="D107" s="21"/>
      <c r="E107" s="21"/>
      <c r="F107" s="21"/>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c r="BK107" s="14"/>
      <c r="BL107" s="14"/>
      <c r="BM107" s="14"/>
      <c r="BN107" s="14"/>
      <c r="BO107" s="14"/>
      <c r="BP107" s="14"/>
      <c r="BQ107" s="14"/>
      <c r="BR107" s="14"/>
      <c r="BS107" s="14"/>
      <c r="BT107" s="14"/>
      <c r="BU107" s="14"/>
      <c r="BV107" s="14"/>
      <c r="BW107" s="14"/>
      <c r="BX107" s="14"/>
      <c r="BY107" s="14"/>
      <c r="BZ107" s="14"/>
      <c r="CA107" s="14"/>
      <c r="CB107" s="14"/>
      <c r="CC107" s="14"/>
      <c r="CD107" s="14"/>
      <c r="CE107" s="14"/>
      <c r="CF107" s="14"/>
      <c r="CG107" s="14"/>
      <c r="CH107" s="14"/>
      <c r="CI107" s="14"/>
      <c r="CJ107" s="14"/>
      <c r="CK107" s="14"/>
      <c r="CL107" s="14"/>
      <c r="CM107" s="14"/>
      <c r="CN107" s="14"/>
      <c r="CO107" s="14"/>
      <c r="CP107" s="14"/>
      <c r="CQ107" s="14"/>
      <c r="CR107" s="14"/>
      <c r="CS107" s="14"/>
      <c r="CT107" s="14"/>
      <c r="CU107" s="14"/>
      <c r="CV107" s="14"/>
      <c r="CW107" s="14"/>
      <c r="CX107" s="14"/>
      <c r="CY107" s="14"/>
      <c r="CZ107" s="14"/>
      <c r="DA107" s="14"/>
      <c r="DB107" s="14"/>
      <c r="DC107" s="14"/>
    </row>
    <row r="108" spans="1:107" x14ac:dyDescent="0.3">
      <c r="B108" s="5" t="s">
        <v>547</v>
      </c>
      <c r="C108" t="s">
        <v>21</v>
      </c>
    </row>
    <row r="110" spans="1:107" x14ac:dyDescent="0.3">
      <c r="B110" s="5" t="s">
        <v>597</v>
      </c>
      <c r="C110" s="5" t="s">
        <v>599</v>
      </c>
    </row>
    <row r="111" spans="1:107" x14ac:dyDescent="0.3">
      <c r="B111" s="5" t="s">
        <v>555</v>
      </c>
      <c r="C111" t="s">
        <v>4</v>
      </c>
    </row>
    <row r="112" spans="1:107" ht="15.6" x14ac:dyDescent="0.3">
      <c r="B112" s="6" t="s">
        <v>11</v>
      </c>
      <c r="C112" s="16">
        <v>827.27800000000002</v>
      </c>
    </row>
    <row r="114" spans="1:107" ht="18" x14ac:dyDescent="0.35">
      <c r="A114" s="14">
        <v>18</v>
      </c>
      <c r="B114" s="21" t="s">
        <v>590</v>
      </c>
      <c r="C114" s="21"/>
      <c r="D114" s="21"/>
      <c r="E114" s="21"/>
      <c r="F114" s="21"/>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c r="BO114" s="14"/>
      <c r="BP114" s="14"/>
      <c r="BQ114" s="14"/>
      <c r="BR114" s="14"/>
      <c r="BS114" s="14"/>
      <c r="BT114" s="14"/>
      <c r="BU114" s="14"/>
      <c r="BV114" s="14"/>
      <c r="BW114" s="14"/>
      <c r="BX114" s="14"/>
      <c r="BY114" s="14"/>
      <c r="BZ114" s="14"/>
      <c r="CA114" s="14"/>
      <c r="CB114" s="14"/>
      <c r="CC114" s="14"/>
      <c r="CD114" s="14"/>
      <c r="CE114" s="14"/>
      <c r="CF114" s="14"/>
      <c r="CG114" s="14"/>
      <c r="CH114" s="14"/>
      <c r="CI114" s="14"/>
      <c r="CJ114" s="14"/>
      <c r="CK114" s="14"/>
      <c r="CL114" s="14"/>
      <c r="CM114" s="14"/>
      <c r="CN114" s="14"/>
      <c r="CO114" s="14"/>
      <c r="CP114" s="14"/>
      <c r="CQ114" s="14"/>
      <c r="CR114" s="14"/>
      <c r="CS114" s="14"/>
      <c r="CT114" s="14"/>
      <c r="CU114" s="14"/>
      <c r="CV114" s="14"/>
      <c r="CW114" s="14"/>
      <c r="CX114" s="14"/>
      <c r="CY114" s="14"/>
      <c r="CZ114" s="14"/>
      <c r="DA114" s="14"/>
      <c r="DB114" s="14"/>
      <c r="DC114" s="14"/>
    </row>
    <row r="115" spans="1:107" x14ac:dyDescent="0.3">
      <c r="B115" s="5" t="s">
        <v>549</v>
      </c>
      <c r="C115" t="s">
        <v>63</v>
      </c>
    </row>
    <row r="117" spans="1:107" x14ac:dyDescent="0.3">
      <c r="B117" s="5"/>
      <c r="C117" s="5" t="s">
        <v>599</v>
      </c>
    </row>
    <row r="118" spans="1:107" ht="15.6" x14ac:dyDescent="0.3">
      <c r="C118" t="s">
        <v>4</v>
      </c>
      <c r="D118" t="s">
        <v>15</v>
      </c>
      <c r="E118" t="s">
        <v>30</v>
      </c>
      <c r="F118" s="15" t="s">
        <v>556</v>
      </c>
    </row>
    <row r="119" spans="1:107" ht="15.6" x14ac:dyDescent="0.3">
      <c r="B119" t="s">
        <v>596</v>
      </c>
      <c r="C119" s="3">
        <v>182825.62999999998</v>
      </c>
      <c r="D119" s="3">
        <v>32573.25</v>
      </c>
      <c r="E119" s="3">
        <v>43572.9</v>
      </c>
      <c r="F119" s="16">
        <v>258971.77999999997</v>
      </c>
    </row>
    <row r="121" spans="1:107" ht="18" x14ac:dyDescent="0.35">
      <c r="A121" s="14">
        <v>19</v>
      </c>
      <c r="B121" s="21" t="s">
        <v>591</v>
      </c>
      <c r="C121" s="21"/>
      <c r="D121" s="21"/>
      <c r="E121" s="21"/>
      <c r="F121" s="21"/>
      <c r="G121" s="21"/>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c r="BM121" s="14"/>
      <c r="BN121" s="14"/>
      <c r="BO121" s="14"/>
      <c r="BP121" s="14"/>
      <c r="BQ121" s="14"/>
      <c r="BR121" s="14"/>
      <c r="BS121" s="14"/>
      <c r="BT121" s="14"/>
      <c r="BU121" s="14"/>
      <c r="BV121" s="14"/>
      <c r="BW121" s="14"/>
      <c r="BX121" s="14"/>
      <c r="BY121" s="14"/>
      <c r="BZ121" s="14"/>
      <c r="CA121" s="14"/>
      <c r="CB121" s="14"/>
      <c r="CC121" s="14"/>
      <c r="CD121" s="14"/>
      <c r="CE121" s="14"/>
      <c r="CF121" s="14"/>
      <c r="CG121" s="14"/>
      <c r="CH121" s="14"/>
      <c r="CI121" s="14"/>
      <c r="CJ121" s="14"/>
      <c r="CK121" s="14"/>
      <c r="CL121" s="14"/>
      <c r="CM121" s="14"/>
      <c r="CN121" s="14"/>
      <c r="CO121" s="14"/>
      <c r="CP121" s="14"/>
      <c r="CQ121" s="14"/>
      <c r="CR121" s="14"/>
      <c r="CS121" s="14"/>
      <c r="CT121" s="14"/>
      <c r="CU121" s="14"/>
      <c r="CV121" s="14"/>
      <c r="CW121" s="14"/>
      <c r="CX121" s="14"/>
      <c r="CY121" s="14"/>
      <c r="CZ121" s="14"/>
      <c r="DA121" s="14"/>
      <c r="DB121" s="14"/>
      <c r="DC121" s="14"/>
    </row>
    <row r="122" spans="1:107" x14ac:dyDescent="0.3">
      <c r="B122" s="5"/>
      <c r="C122" s="5" t="s">
        <v>599</v>
      </c>
    </row>
    <row r="123" spans="1:107" ht="15.6" x14ac:dyDescent="0.3">
      <c r="C123" t="s">
        <v>13</v>
      </c>
      <c r="D123" t="s">
        <v>1</v>
      </c>
      <c r="E123" s="15" t="s">
        <v>556</v>
      </c>
    </row>
    <row r="124" spans="1:107" ht="15.6" x14ac:dyDescent="0.3">
      <c r="B124" t="s">
        <v>604</v>
      </c>
      <c r="C124">
        <v>31</v>
      </c>
      <c r="D124">
        <v>28</v>
      </c>
      <c r="E124" s="15">
        <v>59</v>
      </c>
    </row>
    <row r="126" spans="1:107" ht="18" x14ac:dyDescent="0.35">
      <c r="A126" s="14">
        <v>20</v>
      </c>
      <c r="B126" s="21" t="s">
        <v>592</v>
      </c>
      <c r="C126" s="21"/>
      <c r="D126" s="21"/>
      <c r="E126" s="21"/>
      <c r="F126" s="21"/>
      <c r="G126" s="21"/>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14"/>
      <c r="BP126" s="14"/>
      <c r="BQ126" s="14"/>
      <c r="BR126" s="14"/>
      <c r="BS126" s="14"/>
      <c r="BT126" s="14"/>
      <c r="BU126" s="14"/>
      <c r="BV126" s="14"/>
      <c r="BW126" s="14"/>
      <c r="BX126" s="14"/>
      <c r="BY126" s="14"/>
      <c r="BZ126" s="14"/>
      <c r="CA126" s="14"/>
      <c r="CB126" s="14"/>
      <c r="CC126" s="14"/>
      <c r="CD126" s="14"/>
      <c r="CE126" s="14"/>
      <c r="CF126" s="14"/>
      <c r="CG126" s="14"/>
      <c r="CH126" s="14"/>
      <c r="CI126" s="14"/>
      <c r="CJ126" s="14"/>
      <c r="CK126" s="14"/>
      <c r="CL126" s="14"/>
      <c r="CM126" s="14"/>
      <c r="CN126" s="14"/>
      <c r="CO126" s="14"/>
      <c r="CP126" s="14"/>
      <c r="CQ126" s="14"/>
      <c r="CR126" s="14"/>
      <c r="CS126" s="14"/>
      <c r="CT126" s="14"/>
      <c r="CU126" s="14"/>
      <c r="CV126" s="14"/>
      <c r="CW126" s="14"/>
      <c r="CX126" s="14"/>
      <c r="CY126" s="14"/>
      <c r="CZ126" s="14"/>
      <c r="DA126" s="14"/>
      <c r="DB126" s="14"/>
      <c r="DC126" s="14"/>
    </row>
    <row r="127" spans="1:107" x14ac:dyDescent="0.3">
      <c r="B127" s="5" t="s">
        <v>547</v>
      </c>
      <c r="C127" t="s">
        <v>73</v>
      </c>
    </row>
    <row r="129" spans="2:5" x14ac:dyDescent="0.3">
      <c r="B129" s="5"/>
      <c r="C129" s="5" t="s">
        <v>599</v>
      </c>
      <c r="E129" s="18"/>
    </row>
    <row r="130" spans="2:5" ht="15.6" x14ac:dyDescent="0.3">
      <c r="C130" t="s">
        <v>75</v>
      </c>
      <c r="D130" t="s">
        <v>58</v>
      </c>
      <c r="E130" s="15" t="s">
        <v>556</v>
      </c>
    </row>
    <row r="131" spans="2:5" ht="15.6" x14ac:dyDescent="0.3">
      <c r="B131" t="s">
        <v>596</v>
      </c>
      <c r="C131" s="3">
        <v>3782.99</v>
      </c>
      <c r="D131" s="3">
        <v>8817.2900000000009</v>
      </c>
      <c r="E131" s="16">
        <v>12600.28</v>
      </c>
    </row>
  </sheetData>
  <mergeCells count="20">
    <mergeCell ref="B121:G121"/>
    <mergeCell ref="B126:G126"/>
    <mergeCell ref="B79:G79"/>
    <mergeCell ref="B85:G85"/>
    <mergeCell ref="B93:E93"/>
    <mergeCell ref="B100:F100"/>
    <mergeCell ref="B107:F107"/>
    <mergeCell ref="B114:F114"/>
    <mergeCell ref="B72:G72"/>
    <mergeCell ref="B1:D1"/>
    <mergeCell ref="B7:C7"/>
    <mergeCell ref="B13:F13"/>
    <mergeCell ref="B19:F19"/>
    <mergeCell ref="B25:F25"/>
    <mergeCell ref="B31:F31"/>
    <mergeCell ref="B37:F37"/>
    <mergeCell ref="B44:F44"/>
    <mergeCell ref="B51:F51"/>
    <mergeCell ref="B58:F58"/>
    <mergeCell ref="B65:G6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CD973-90BB-4DF2-A780-7C4494B5A82A}">
  <dimension ref="A3:E127"/>
  <sheetViews>
    <sheetView topLeftCell="A91" workbookViewId="0">
      <selection activeCell="F116" sqref="F116"/>
    </sheetView>
  </sheetViews>
  <sheetFormatPr defaultRowHeight="14.4" x14ac:dyDescent="0.3"/>
  <cols>
    <col min="1" max="1" width="12.5546875" bestFit="1" customWidth="1"/>
    <col min="2" max="2" width="20" bestFit="1" customWidth="1"/>
    <col min="3" max="3" width="12.5546875" bestFit="1" customWidth="1"/>
    <col min="4" max="4" width="20" bestFit="1" customWidth="1"/>
    <col min="5" max="18" width="17" bestFit="1" customWidth="1"/>
    <col min="19" max="19" width="10.77734375" bestFit="1" customWidth="1"/>
  </cols>
  <sheetData>
    <row r="3" spans="1:2" x14ac:dyDescent="0.3">
      <c r="A3" s="5" t="s">
        <v>555</v>
      </c>
      <c r="B3" t="s">
        <v>569</v>
      </c>
    </row>
    <row r="4" spans="1:2" x14ac:dyDescent="0.3">
      <c r="A4" s="6" t="s">
        <v>557</v>
      </c>
      <c r="B4" s="10">
        <v>2561715.9000000004</v>
      </c>
    </row>
    <row r="5" spans="1:2" x14ac:dyDescent="0.3">
      <c r="A5" s="6" t="s">
        <v>558</v>
      </c>
      <c r="B5" s="10">
        <v>1482079.2</v>
      </c>
    </row>
    <row r="6" spans="1:2" x14ac:dyDescent="0.3">
      <c r="A6" s="6" t="s">
        <v>559</v>
      </c>
      <c r="B6" s="10">
        <v>1465249.4099999997</v>
      </c>
    </row>
    <row r="7" spans="1:2" x14ac:dyDescent="0.3">
      <c r="A7" s="6" t="s">
        <v>560</v>
      </c>
      <c r="B7" s="10">
        <v>1095693.6299999999</v>
      </c>
    </row>
    <row r="8" spans="1:2" x14ac:dyDescent="0.3">
      <c r="A8" s="6" t="s">
        <v>561</v>
      </c>
      <c r="B8" s="10">
        <v>2601853.709999999</v>
      </c>
    </row>
    <row r="9" spans="1:2" x14ac:dyDescent="0.3">
      <c r="A9" s="6" t="s">
        <v>562</v>
      </c>
      <c r="B9" s="10">
        <v>2341174.3199999998</v>
      </c>
    </row>
    <row r="10" spans="1:2" x14ac:dyDescent="0.3">
      <c r="A10" s="6" t="s">
        <v>563</v>
      </c>
      <c r="B10" s="10">
        <v>2261040.9899999998</v>
      </c>
    </row>
    <row r="11" spans="1:2" x14ac:dyDescent="0.3">
      <c r="A11" s="6" t="s">
        <v>564</v>
      </c>
      <c r="B11" s="10">
        <v>2550786.3299999996</v>
      </c>
    </row>
    <row r="12" spans="1:2" x14ac:dyDescent="0.3">
      <c r="A12" s="6" t="s">
        <v>565</v>
      </c>
      <c r="B12" s="10">
        <v>1103775.42</v>
      </c>
    </row>
    <row r="13" spans="1:2" x14ac:dyDescent="0.3">
      <c r="A13" s="6" t="s">
        <v>566</v>
      </c>
      <c r="B13" s="10">
        <v>3103999.8900000006</v>
      </c>
    </row>
    <row r="14" spans="1:2" x14ac:dyDescent="0.3">
      <c r="A14" s="6" t="s">
        <v>567</v>
      </c>
      <c r="B14" s="10">
        <v>3499629.73</v>
      </c>
    </row>
    <row r="15" spans="1:2" x14ac:dyDescent="0.3">
      <c r="A15" s="6" t="s">
        <v>568</v>
      </c>
      <c r="B15" s="10">
        <v>556927.59000000008</v>
      </c>
    </row>
    <row r="16" spans="1:2" x14ac:dyDescent="0.3">
      <c r="A16" s="6" t="s">
        <v>556</v>
      </c>
      <c r="B16" s="10">
        <v>24623926.119999997</v>
      </c>
    </row>
    <row r="17" spans="1:2" x14ac:dyDescent="0.3">
      <c r="B17" s="7"/>
    </row>
    <row r="23" spans="1:2" x14ac:dyDescent="0.3">
      <c r="A23" s="5" t="s">
        <v>555</v>
      </c>
      <c r="B23" t="s">
        <v>569</v>
      </c>
    </row>
    <row r="24" spans="1:2" x14ac:dyDescent="0.3">
      <c r="A24" s="6" t="s">
        <v>39</v>
      </c>
      <c r="B24" s="10">
        <v>3306257.7399999984</v>
      </c>
    </row>
    <row r="25" spans="1:2" x14ac:dyDescent="0.3">
      <c r="A25" s="6" t="s">
        <v>29</v>
      </c>
      <c r="B25" s="10">
        <v>2824211.6799999997</v>
      </c>
    </row>
    <row r="26" spans="1:2" x14ac:dyDescent="0.3">
      <c r="A26" s="6" t="s">
        <v>13</v>
      </c>
      <c r="B26" s="10">
        <v>2686294.9199999995</v>
      </c>
    </row>
    <row r="27" spans="1:2" x14ac:dyDescent="0.3">
      <c r="A27" s="6" t="s">
        <v>32</v>
      </c>
      <c r="B27" s="10">
        <v>1918620.8799999994</v>
      </c>
    </row>
    <row r="28" spans="1:2" x14ac:dyDescent="0.3">
      <c r="A28" s="6" t="s">
        <v>34</v>
      </c>
      <c r="B28" s="10">
        <v>1615307.6099999999</v>
      </c>
    </row>
    <row r="29" spans="1:2" x14ac:dyDescent="0.3">
      <c r="A29" s="6" t="s">
        <v>556</v>
      </c>
      <c r="B29" s="10">
        <v>12350692.829999996</v>
      </c>
    </row>
    <row r="38" spans="1:2" x14ac:dyDescent="0.3">
      <c r="A38" s="5" t="s">
        <v>555</v>
      </c>
      <c r="B38" t="s">
        <v>569</v>
      </c>
    </row>
    <row r="39" spans="1:2" x14ac:dyDescent="0.3">
      <c r="A39" s="6" t="s">
        <v>3</v>
      </c>
      <c r="B39" s="10">
        <v>1709830.83</v>
      </c>
    </row>
    <row r="40" spans="1:2" x14ac:dyDescent="0.3">
      <c r="A40" s="6" t="s">
        <v>9</v>
      </c>
      <c r="B40" s="10">
        <v>2256759.69</v>
      </c>
    </row>
    <row r="41" spans="1:2" x14ac:dyDescent="0.3">
      <c r="A41" s="6" t="s">
        <v>51</v>
      </c>
      <c r="B41" s="10">
        <v>3324431.2399999998</v>
      </c>
    </row>
    <row r="42" spans="1:2" x14ac:dyDescent="0.3">
      <c r="A42" s="6" t="s">
        <v>77</v>
      </c>
      <c r="B42" s="10">
        <v>4676084.3699999992</v>
      </c>
    </row>
    <row r="43" spans="1:2" x14ac:dyDescent="0.3">
      <c r="A43" s="6" t="s">
        <v>35</v>
      </c>
      <c r="B43" s="10">
        <v>6943352.6499999994</v>
      </c>
    </row>
    <row r="44" spans="1:2" x14ac:dyDescent="0.3">
      <c r="A44" s="6" t="s">
        <v>556</v>
      </c>
      <c r="B44" s="10">
        <v>18910458.780000001</v>
      </c>
    </row>
    <row r="53" spans="1:2" x14ac:dyDescent="0.3">
      <c r="A53" s="5" t="s">
        <v>555</v>
      </c>
      <c r="B53" t="s">
        <v>569</v>
      </c>
    </row>
    <row r="54" spans="1:2" x14ac:dyDescent="0.3">
      <c r="A54" s="6" t="s">
        <v>24</v>
      </c>
      <c r="B54" s="9">
        <v>0.15261935045149502</v>
      </c>
    </row>
    <row r="55" spans="1:2" x14ac:dyDescent="0.3">
      <c r="A55" s="6" t="s">
        <v>2</v>
      </c>
      <c r="B55" s="9">
        <v>0.28836184714803714</v>
      </c>
    </row>
    <row r="56" spans="1:2" x14ac:dyDescent="0.3">
      <c r="A56" s="6" t="s">
        <v>14</v>
      </c>
      <c r="B56" s="9">
        <v>0.55901880240046786</v>
      </c>
    </row>
    <row r="57" spans="1:2" x14ac:dyDescent="0.3">
      <c r="A57" s="6" t="s">
        <v>556</v>
      </c>
      <c r="B57" s="9">
        <v>1</v>
      </c>
    </row>
    <row r="67" spans="1:2" x14ac:dyDescent="0.3">
      <c r="A67" s="5" t="s">
        <v>555</v>
      </c>
      <c r="B67" t="s">
        <v>569</v>
      </c>
    </row>
    <row r="68" spans="1:2" x14ac:dyDescent="0.3">
      <c r="A68" s="6" t="s">
        <v>10</v>
      </c>
      <c r="B68" s="9">
        <v>0.50051461452321788</v>
      </c>
    </row>
    <row r="69" spans="1:2" x14ac:dyDescent="0.3">
      <c r="A69" s="6" t="s">
        <v>5</v>
      </c>
      <c r="B69" s="9">
        <v>0.36579862066285324</v>
      </c>
    </row>
    <row r="70" spans="1:2" x14ac:dyDescent="0.3">
      <c r="A70" s="6" t="s">
        <v>63</v>
      </c>
      <c r="B70" s="9">
        <v>0.13368676481392894</v>
      </c>
    </row>
    <row r="71" spans="1:2" x14ac:dyDescent="0.3">
      <c r="A71" s="6" t="s">
        <v>556</v>
      </c>
      <c r="B71" s="9">
        <v>1</v>
      </c>
    </row>
    <row r="82" spans="1:2" x14ac:dyDescent="0.3">
      <c r="A82" s="5" t="s">
        <v>555</v>
      </c>
      <c r="B82" t="s">
        <v>570</v>
      </c>
    </row>
    <row r="83" spans="1:2" x14ac:dyDescent="0.3">
      <c r="A83" s="6" t="s">
        <v>17</v>
      </c>
      <c r="B83" s="9">
        <v>0.10617399438727783</v>
      </c>
    </row>
    <row r="84" spans="1:2" x14ac:dyDescent="0.3">
      <c r="A84" s="6" t="s">
        <v>4</v>
      </c>
      <c r="B84" s="9">
        <v>0.70135640785781106</v>
      </c>
    </row>
    <row r="85" spans="1:2" x14ac:dyDescent="0.3">
      <c r="A85" s="6" t="s">
        <v>15</v>
      </c>
      <c r="B85" s="9">
        <v>0.11950420954162769</v>
      </c>
    </row>
    <row r="86" spans="1:2" x14ac:dyDescent="0.3">
      <c r="A86" s="6" t="s">
        <v>30</v>
      </c>
      <c r="B86" s="9">
        <v>7.2965388213283439E-2</v>
      </c>
    </row>
    <row r="87" spans="1:2" x14ac:dyDescent="0.3">
      <c r="A87" s="6" t="s">
        <v>556</v>
      </c>
      <c r="B87" s="9">
        <v>1</v>
      </c>
    </row>
    <row r="94" spans="1:2" x14ac:dyDescent="0.3">
      <c r="A94" s="5" t="s">
        <v>555</v>
      </c>
      <c r="B94" t="s">
        <v>569</v>
      </c>
    </row>
    <row r="95" spans="1:2" x14ac:dyDescent="0.3">
      <c r="A95" s="6" t="s">
        <v>11</v>
      </c>
      <c r="B95" s="10">
        <v>12354892.219999999</v>
      </c>
    </row>
    <row r="96" spans="1:2" x14ac:dyDescent="0.3">
      <c r="A96" s="6" t="s">
        <v>18</v>
      </c>
      <c r="B96" s="10">
        <v>5461530.2299999986</v>
      </c>
    </row>
    <row r="97" spans="1:2" x14ac:dyDescent="0.3">
      <c r="A97" s="6" t="s">
        <v>6</v>
      </c>
      <c r="B97" s="10">
        <v>4319555.88</v>
      </c>
    </row>
    <row r="98" spans="1:2" x14ac:dyDescent="0.3">
      <c r="A98" s="6" t="s">
        <v>46</v>
      </c>
      <c r="B98" s="10">
        <v>1952850.4699999997</v>
      </c>
    </row>
    <row r="99" spans="1:2" x14ac:dyDescent="0.3">
      <c r="A99" s="6" t="s">
        <v>82</v>
      </c>
      <c r="B99" s="10">
        <v>535097.32000000007</v>
      </c>
    </row>
    <row r="100" spans="1:2" x14ac:dyDescent="0.3">
      <c r="A100" s="6" t="s">
        <v>556</v>
      </c>
      <c r="B100" s="10">
        <v>24623926.119999997</v>
      </c>
    </row>
    <row r="112" spans="1:2" x14ac:dyDescent="0.3">
      <c r="A112" s="5" t="s">
        <v>555</v>
      </c>
      <c r="B112" t="s">
        <v>572</v>
      </c>
    </row>
    <row r="113" spans="1:5" x14ac:dyDescent="0.3">
      <c r="A113" s="6" t="s">
        <v>17</v>
      </c>
      <c r="B113" s="9">
        <v>0.1</v>
      </c>
      <c r="E113" s="11"/>
    </row>
    <row r="114" spans="1:5" x14ac:dyDescent="0.3">
      <c r="A114" s="6" t="s">
        <v>4</v>
      </c>
      <c r="B114" s="9">
        <v>0.70799999999999996</v>
      </c>
      <c r="E114" s="9"/>
    </row>
    <row r="115" spans="1:5" x14ac:dyDescent="0.3">
      <c r="A115" s="6" t="s">
        <v>15</v>
      </c>
      <c r="B115" s="9">
        <v>0.112</v>
      </c>
    </row>
    <row r="116" spans="1:5" x14ac:dyDescent="0.3">
      <c r="A116" s="6" t="s">
        <v>30</v>
      </c>
      <c r="B116" s="9">
        <v>0.08</v>
      </c>
    </row>
    <row r="117" spans="1:5" x14ac:dyDescent="0.3">
      <c r="A117" s="6" t="s">
        <v>556</v>
      </c>
      <c r="B117" s="9">
        <v>1</v>
      </c>
    </row>
    <row r="118" spans="1:5" x14ac:dyDescent="0.3">
      <c r="A118" s="8"/>
    </row>
    <row r="121" spans="1:5" x14ac:dyDescent="0.3">
      <c r="A121" t="s">
        <v>571</v>
      </c>
    </row>
    <row r="122" spans="1:5" x14ac:dyDescent="0.3">
      <c r="A122" s="23">
        <v>500</v>
      </c>
    </row>
    <row r="126" spans="1:5" x14ac:dyDescent="0.3">
      <c r="A126" t="s">
        <v>569</v>
      </c>
    </row>
    <row r="127" spans="1:5" x14ac:dyDescent="0.3">
      <c r="A127" s="24">
        <v>24623926.120000023</v>
      </c>
    </row>
  </sheetData>
  <pageMargins left="0.7" right="0.7" top="0.75" bottom="0.75" header="0.3" footer="0.3"/>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5A726-A567-41C8-8909-03D5B656737C}">
  <dimension ref="A1"/>
  <sheetViews>
    <sheetView tabSelected="1" zoomScale="62" zoomScaleNormal="62" workbookViewId="0">
      <selection activeCell="J42" sqref="J4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Business_Problem</vt:lpstr>
      <vt:lpstr>Pivot_Analysis</vt:lpstr>
      <vt:lpstr>Pivot_Charts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Sarvesh Vernekar</dc:creator>
  <cp:lastModifiedBy>Sarvesh Vernekar</cp:lastModifiedBy>
  <dcterms:created xsi:type="dcterms:W3CDTF">2025-12-29T11:17:09Z</dcterms:created>
  <dcterms:modified xsi:type="dcterms:W3CDTF">2026-03-05T06:57:19Z</dcterms:modified>
</cp:coreProperties>
</file>